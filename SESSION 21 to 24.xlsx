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asc\Downloads\"/>
    </mc:Choice>
  </mc:AlternateContent>
  <xr:revisionPtr revIDLastSave="0" documentId="13_ncr:1_{1CD4C1D3-CF97-4163-97A3-29D16CC2F57F}" xr6:coauthVersionLast="47" xr6:coauthVersionMax="47" xr10:uidLastSave="{00000000-0000-0000-0000-000000000000}"/>
  <bookViews>
    <workbookView xWindow="-108" yWindow="-108" windowWidth="23256" windowHeight="13896" firstSheet="15" activeTab="19" xr2:uid="{00000000-000D-0000-FFFF-FFFF00000000}"/>
  </bookViews>
  <sheets>
    <sheet name="19_Instructions" sheetId="1" r:id="rId1"/>
    <sheet name="01_Food_Orders_Cleaning" sheetId="2" r:id="rId2"/>
    <sheet name="01B_Cleaned_Orders" sheetId="3" r:id="rId3"/>
    <sheet name="02_Restaurant_Details" sheetId="4" r:id="rId4"/>
    <sheet name="03_XLOOKUP_Result" sheetId="5" r:id="rId5"/>
    <sheet name="04_Day_Extraction" sheetId="6" r:id="rId6"/>
    <sheet name="05_City_Summary" sheetId="7" r:id="rId7"/>
    <sheet name="06_Dashboard" sheetId="8" r:id="rId8"/>
    <sheet name="07_Macro_Basic" sheetId="9" r:id="rId9"/>
    <sheet name="08_Macro_10_Orders" sheetId="10" r:id="rId10"/>
    <sheet name="09_Instagram_Followers" sheetId="11" r:id="rId11"/>
    <sheet name="10_VBA_Basics" sheetId="12" r:id="rId12"/>
    <sheet name="11_Recorded_Macro_Task" sheetId="13" r:id="rId13"/>
    <sheet name="12_IPL_Macro" sheetId="14" r:id="rId14"/>
    <sheet name="13_Clean_Playlist" sheetId="15" r:id="rId15"/>
    <sheet name="14_Flipkart_Dashboard" sheetId="16" r:id="rId16"/>
    <sheet name="15_Zomato_PDF" sheetId="17" r:id="rId17"/>
    <sheet name="16_PowerQuery_Refresh" sheetId="18" r:id="rId18"/>
    <sheet name="17_Prompt_Used" sheetId="19" r:id="rId19"/>
    <sheet name="18_VBA_Code" sheetId="20" r:id="rId20"/>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5" i="8"/>
  <c r="B4" i="8"/>
  <c r="C6" i="7"/>
  <c r="B6" i="7"/>
  <c r="C5" i="7"/>
  <c r="B5" i="7"/>
  <c r="C4" i="7"/>
  <c r="B4" i="7"/>
  <c r="C3" i="7"/>
  <c r="B3" i="7"/>
  <c r="C2" i="7"/>
  <c r="B2" i="7"/>
  <c r="D101" i="6"/>
  <c r="C101" i="6"/>
  <c r="D100" i="6"/>
  <c r="C100" i="6"/>
  <c r="D99" i="6"/>
  <c r="C99" i="6"/>
  <c r="D98" i="6"/>
  <c r="C98" i="6"/>
  <c r="D97" i="6"/>
  <c r="C97" i="6"/>
  <c r="D96" i="6"/>
  <c r="C96" i="6"/>
  <c r="D95" i="6"/>
  <c r="C95" i="6"/>
  <c r="D94" i="6"/>
  <c r="C94" i="6"/>
  <c r="D93" i="6"/>
  <c r="C93" i="6"/>
  <c r="D92" i="6"/>
  <c r="C92" i="6"/>
  <c r="D91" i="6"/>
  <c r="C91" i="6"/>
  <c r="D90" i="6"/>
  <c r="C90" i="6"/>
  <c r="D89" i="6"/>
  <c r="C89" i="6"/>
  <c r="D88" i="6"/>
  <c r="C88" i="6"/>
  <c r="D87" i="6"/>
  <c r="C87" i="6"/>
  <c r="D86" i="6"/>
  <c r="C86" i="6"/>
  <c r="D85" i="6"/>
  <c r="C85" i="6"/>
  <c r="D84" i="6"/>
  <c r="C84" i="6"/>
  <c r="D83" i="6"/>
  <c r="C83" i="6"/>
  <c r="D82" i="6"/>
  <c r="C82" i="6"/>
  <c r="D81" i="6"/>
  <c r="C81" i="6"/>
  <c r="D80" i="6"/>
  <c r="C80" i="6"/>
  <c r="D79" i="6"/>
  <c r="C79" i="6"/>
  <c r="D78" i="6"/>
  <c r="C78" i="6"/>
  <c r="D77" i="6"/>
  <c r="C77" i="6"/>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6" i="6"/>
  <c r="C6" i="6"/>
  <c r="D5" i="6"/>
  <c r="C5" i="6"/>
  <c r="D4" i="6"/>
  <c r="C4" i="6"/>
  <c r="D3" i="6"/>
  <c r="C3" i="6"/>
  <c r="D2" i="6"/>
  <c r="C2" i="6"/>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 r="E4" i="8" l="1"/>
  <c r="E5" i="8"/>
  <c r="E6" i="8"/>
</calcChain>
</file>

<file path=xl/sharedStrings.xml><?xml version="1.0" encoding="utf-8"?>
<sst xmlns="http://schemas.openxmlformats.org/spreadsheetml/2006/main" count="1807" uniqueCount="371">
  <si>
    <t>STEP</t>
  </si>
  <si>
    <t>INSTRUCTION</t>
  </si>
  <si>
    <t>1</t>
  </si>
  <si>
    <t>Open this workbook in Microsoft Excel Desktop.</t>
  </si>
  <si>
    <t>2</t>
  </si>
  <si>
    <t>Complete the Food Delivery cleaning/lookup/day extraction tasks using the prepared sheets. The cleaned result is already demonstrated in 01B_Cleaned_Orders.</t>
  </si>
  <si>
    <t>3</t>
  </si>
  <si>
    <t>For the City Summary, use Insert &gt; PivotTable on the cleaned data. Put City in Rows, Order ID in Values (Count), Delivery Charge in Values (Sum), then insert a Column/Bar PivotChart.</t>
  </si>
  <si>
    <t>4</t>
  </si>
  <si>
    <t>For the Dashboard, create PivotTables/Charts and insert a City slicer: PivotTable Analyze &gt; Insert Slicer &gt; City. Connect the slicer to relevant PivotTables using Report Connections.</t>
  </si>
  <si>
    <t>5</t>
  </si>
  <si>
    <t>For Developer-tab tasks, enable Developer: File &gt; Options &gt; Customize Ribbon &gt; check Developer.</t>
  </si>
  <si>
    <t>6</t>
  </si>
  <si>
    <t>For macro-recorder tasks, use Developer &gt; Record Macro. Do not edit VBA for the task where the assignment explicitly says recorder only.</t>
  </si>
  <si>
    <t>7</t>
  </si>
  <si>
    <t>For written VBA tasks, press Alt+F11 &gt; Insert &gt; Module, copy the required code from 18_VBA_Code, then run it.</t>
  </si>
  <si>
    <t>8</t>
  </si>
  <si>
    <t>Save the final workbook as Excel Macro-Enabled Workbook (*.xlsm).</t>
  </si>
  <si>
    <t>9</t>
  </si>
  <si>
    <t>After reopening the .xlsm, choose Enable Content/Enable Macros if prompted and test the macros.</t>
  </si>
  <si>
    <t>10</t>
  </si>
  <si>
    <t>For the Power Query task, the provided macro uses ThisWorkbook.RefreshAll. The exact refresh behavior depends on whether the workbook has an actual Power Query connection.</t>
  </si>
  <si>
    <t>11</t>
  </si>
  <si>
    <t>For the Zomato PDF task, run Export_Zomato_PDF. It saves to the Windows Desktop as Zomato_Sales_Dashboard.pdf.</t>
  </si>
  <si>
    <t>12</t>
  </si>
  <si>
    <t>For the ChatGPT/Copilot task, the exact prompt is stored in 17_Prompt_Used.</t>
  </si>
  <si>
    <t>Order ID</t>
  </si>
  <si>
    <t>Restaurant ID</t>
  </si>
  <si>
    <t>City</t>
  </si>
  <si>
    <t>Delivery Date</t>
  </si>
  <si>
    <t>Delivery Partner</t>
  </si>
  <si>
    <t>Delivery Time (min)</t>
  </si>
  <si>
    <t>Delivery Charge</t>
  </si>
  <si>
    <t>Status</t>
  </si>
  <si>
    <t>ORD0001</t>
  </si>
  <si>
    <t>Surat</t>
  </si>
  <si>
    <t>01-08-2026</t>
  </si>
  <si>
    <t>Delivered</t>
  </si>
  <si>
    <t>ORD0002</t>
  </si>
  <si>
    <t>09-08-2026</t>
  </si>
  <si>
    <t>Rahul</t>
  </si>
  <si>
    <t>ORD0003</t>
  </si>
  <si>
    <t>Rajkot</t>
  </si>
  <si>
    <t>23-08-2026</t>
  </si>
  <si>
    <t>ORD0004</t>
  </si>
  <si>
    <t>07-08-2026</t>
  </si>
  <si>
    <t>Neha</t>
  </si>
  <si>
    <t>ORD0005</t>
  </si>
  <si>
    <t>Gandhinagar</t>
  </si>
  <si>
    <t>11-08-2026</t>
  </si>
  <si>
    <t>Karan</t>
  </si>
  <si>
    <t>ORD0006</t>
  </si>
  <si>
    <t>ORD0007</t>
  </si>
  <si>
    <t>Ahmedabad</t>
  </si>
  <si>
    <t>14-08-2026</t>
  </si>
  <si>
    <t>Cancelled</t>
  </si>
  <si>
    <t>ORD0008</t>
  </si>
  <si>
    <t>10-08-2026</t>
  </si>
  <si>
    <t>Mehul</t>
  </si>
  <si>
    <t>ORD0009</t>
  </si>
  <si>
    <t>18-08-2026</t>
  </si>
  <si>
    <t>Sneha</t>
  </si>
  <si>
    <t>ORD0010</t>
  </si>
  <si>
    <t>Vadodara</t>
  </si>
  <si>
    <t>04-08-2026</t>
  </si>
  <si>
    <t>ORD0011</t>
  </si>
  <si>
    <t>13-08-2026</t>
  </si>
  <si>
    <t>ORD0012</t>
  </si>
  <si>
    <t>ORD0013</t>
  </si>
  <si>
    <t>02-08-2026</t>
  </si>
  <si>
    <t>Amit</t>
  </si>
  <si>
    <t>ORD0014</t>
  </si>
  <si>
    <t>ORD0015</t>
  </si>
  <si>
    <t>16-08-2026</t>
  </si>
  <si>
    <t>ORD0016</t>
  </si>
  <si>
    <t>21-08-2026</t>
  </si>
  <si>
    <t>ORD0017</t>
  </si>
  <si>
    <t>06-08-2026</t>
  </si>
  <si>
    <t>ORD0018</t>
  </si>
  <si>
    <t>ORD0019</t>
  </si>
  <si>
    <t>ORD0020</t>
  </si>
  <si>
    <t>25-08-2026</t>
  </si>
  <si>
    <t>ORD0021</t>
  </si>
  <si>
    <t>ORD0022</t>
  </si>
  <si>
    <t>ORD0023</t>
  </si>
  <si>
    <t>08-08-2026</t>
  </si>
  <si>
    <t>Priya</t>
  </si>
  <si>
    <t>ORD0024</t>
  </si>
  <si>
    <t>ORD0025</t>
  </si>
  <si>
    <t>ORD0026</t>
  </si>
  <si>
    <t>28-08-2026</t>
  </si>
  <si>
    <t>ORD0027</t>
  </si>
  <si>
    <t>ORD0028</t>
  </si>
  <si>
    <t>ORD0029</t>
  </si>
  <si>
    <t>ORD0030</t>
  </si>
  <si>
    <t>ORD0031</t>
  </si>
  <si>
    <t>ORD0032</t>
  </si>
  <si>
    <t>ORD0033</t>
  </si>
  <si>
    <t>ORD0034</t>
  </si>
  <si>
    <t>19-08-2026</t>
  </si>
  <si>
    <t>ORD0035</t>
  </si>
  <si>
    <t>ORD0036</t>
  </si>
  <si>
    <t>ORD0037</t>
  </si>
  <si>
    <t>30-08-2026</t>
  </si>
  <si>
    <t>ORD0038</t>
  </si>
  <si>
    <t>ORD0039</t>
  </si>
  <si>
    <t>ORD0040</t>
  </si>
  <si>
    <t>ORD0041</t>
  </si>
  <si>
    <t>ORD0042</t>
  </si>
  <si>
    <t>05-08-2026</t>
  </si>
  <si>
    <t>ORD0043</t>
  </si>
  <si>
    <t>ORD0044</t>
  </si>
  <si>
    <t>ORD0045</t>
  </si>
  <si>
    <t>ORD0046</t>
  </si>
  <si>
    <t>ORD0047</t>
  </si>
  <si>
    <t>ORD0048</t>
  </si>
  <si>
    <t>26-08-2026</t>
  </si>
  <si>
    <t>ORD0049</t>
  </si>
  <si>
    <t>15-08-2026</t>
  </si>
  <si>
    <t>ORD0050</t>
  </si>
  <si>
    <t>ORD0051</t>
  </si>
  <si>
    <t>ORD0052</t>
  </si>
  <si>
    <t>ORD0053</t>
  </si>
  <si>
    <t>ORD0054</t>
  </si>
  <si>
    <t>ORD0055</t>
  </si>
  <si>
    <t>ORD0056</t>
  </si>
  <si>
    <t>ORD0057</t>
  </si>
  <si>
    <t>ORD0058</t>
  </si>
  <si>
    <t>ORD0059</t>
  </si>
  <si>
    <t>12-08-2026</t>
  </si>
  <si>
    <t>ORD0060</t>
  </si>
  <si>
    <t>ORD0061</t>
  </si>
  <si>
    <t>ORD0062</t>
  </si>
  <si>
    <t>ORD0063</t>
  </si>
  <si>
    <t>ORD0064</t>
  </si>
  <si>
    <t>ORD0065</t>
  </si>
  <si>
    <t>ORD0066</t>
  </si>
  <si>
    <t>ORD0067</t>
  </si>
  <si>
    <t>ORD0068</t>
  </si>
  <si>
    <t>ORD0069</t>
  </si>
  <si>
    <t>ORD0070</t>
  </si>
  <si>
    <t>ORD0071</t>
  </si>
  <si>
    <t>ORD0072</t>
  </si>
  <si>
    <t>ORD0073</t>
  </si>
  <si>
    <t>ORD0074</t>
  </si>
  <si>
    <t>22-08-2026</t>
  </si>
  <si>
    <t>ORD0075</t>
  </si>
  <si>
    <t>ORD0076</t>
  </si>
  <si>
    <t>20-08-2026</t>
  </si>
  <si>
    <t>ORD0077</t>
  </si>
  <si>
    <t>ORD0078</t>
  </si>
  <si>
    <t>ORD0079</t>
  </si>
  <si>
    <t>ORD0080</t>
  </si>
  <si>
    <t>17-08-2026</t>
  </si>
  <si>
    <t>ORD0081</t>
  </si>
  <si>
    <t>ORD0082</t>
  </si>
  <si>
    <t>ORD0083</t>
  </si>
  <si>
    <t>ORD0084</t>
  </si>
  <si>
    <t>31-08-2026</t>
  </si>
  <si>
    <t>ORD0085</t>
  </si>
  <si>
    <t>ORD0086</t>
  </si>
  <si>
    <t>ORD0087</t>
  </si>
  <si>
    <t>ORD0088</t>
  </si>
  <si>
    <t>ORD0089</t>
  </si>
  <si>
    <t>ORD0090</t>
  </si>
  <si>
    <t>ORD0091</t>
  </si>
  <si>
    <t>ORD0092</t>
  </si>
  <si>
    <t>ORD0093</t>
  </si>
  <si>
    <t>ORD0094</t>
  </si>
  <si>
    <t>29-08-2026</t>
  </si>
  <si>
    <t>ORD0095</t>
  </si>
  <si>
    <t>24-08-2026</t>
  </si>
  <si>
    <t>ORD0096</t>
  </si>
  <si>
    <t>ORD0097</t>
  </si>
  <si>
    <t>ORD0098</t>
  </si>
  <si>
    <t>03-08-2026</t>
  </si>
  <si>
    <t>ORD0099</t>
  </si>
  <si>
    <t>ORD0100</t>
  </si>
  <si>
    <t>Unassigned</t>
  </si>
  <si>
    <t>Restaurant Name</t>
  </si>
  <si>
    <t>Restaurant City</t>
  </si>
  <si>
    <t>Spice Hub</t>
  </si>
  <si>
    <t>Urban Bites</t>
  </si>
  <si>
    <t>Green Leaf Cafe</t>
  </si>
  <si>
    <t>Royal Thali</t>
  </si>
  <si>
    <t>Pizza Point</t>
  </si>
  <si>
    <t>Dosa House</t>
  </si>
  <si>
    <t>Burger Street</t>
  </si>
  <si>
    <t>The Curry Bowl</t>
  </si>
  <si>
    <t>Chai &amp; Snacks</t>
  </si>
  <si>
    <t>Food Junction</t>
  </si>
  <si>
    <t>Day of Week</t>
  </si>
  <si>
    <t>WEEKDAY Number</t>
  </si>
  <si>
    <t>Total Orders</t>
  </si>
  <si>
    <t>Total Delivery Charges</t>
  </si>
  <si>
    <t>FOOD DELIVERY ANALYTICS MINI DASHBOARD</t>
  </si>
  <si>
    <t>KPI</t>
  </si>
  <si>
    <t>Value</t>
  </si>
  <si>
    <t>Top 3 Restaurants</t>
  </si>
  <si>
    <t>Orders</t>
  </si>
  <si>
    <t>City Filter / Slicer Area</t>
  </si>
  <si>
    <t>Insert Slicer in Excel for City using PivotTable.</t>
  </si>
  <si>
    <t>Average Delivery Time</t>
  </si>
  <si>
    <t>Use PivotTable/Charts connected to City field.</t>
  </si>
  <si>
    <t>This workbook includes the source data and summary.</t>
  </si>
  <si>
    <t>Top 3 restaurant logic</t>
  </si>
  <si>
    <t>Create a PivotTable from 03_XLOOKUP_Result, put Restaurant Name in Rows and Order ID in Values (Count), sort descending, then apply Top 3 filter.</t>
  </si>
  <si>
    <t>Task</t>
  </si>
  <si>
    <t>Expected Macro Action</t>
  </si>
  <si>
    <t>How to Verify</t>
  </si>
  <si>
    <t>Enter your name in A1 and apply Bold</t>
  </si>
  <si>
    <t>Run Macro; A1 should show your name in bold</t>
  </si>
  <si>
    <t>Format 10-order header and autofit columns</t>
  </si>
  <si>
    <t>Header formatted; columns fit contents</t>
  </si>
  <si>
    <t>Save as .xlsm and reopen</t>
  </si>
  <si>
    <t>Enable macros and run a test macro</t>
  </si>
  <si>
    <t>Restaurant</t>
  </si>
  <si>
    <t>Amount</t>
  </si>
  <si>
    <t>FD001</t>
  </si>
  <si>
    <t>FD002</t>
  </si>
  <si>
    <t>FD003</t>
  </si>
  <si>
    <t>FD004</t>
  </si>
  <si>
    <t>FD005</t>
  </si>
  <si>
    <t>FD006</t>
  </si>
  <si>
    <t>FD007</t>
  </si>
  <si>
    <t>FD008</t>
  </si>
  <si>
    <t>FD009</t>
  </si>
  <si>
    <t>FD010</t>
  </si>
  <si>
    <t>Follower Name</t>
  </si>
  <si>
    <t>Macro task: delete blanks, sort A-Z, highlight names starting A in yellow.</t>
  </si>
  <si>
    <t>Zoya</t>
  </si>
  <si>
    <t>Anjali</t>
  </si>
  <si>
    <t>Aarav</t>
  </si>
  <si>
    <t>Bhavna</t>
  </si>
  <si>
    <t>Riya</t>
  </si>
  <si>
    <t>Arjun</t>
  </si>
  <si>
    <t>Aakash</t>
  </si>
  <si>
    <t>VBA Code</t>
  </si>
  <si>
    <t>Sub WelcomeVBA()
    MsgBox "Welcome to VBA Programming!"
End Sub</t>
  </si>
  <si>
    <t>Sub DisplayVariables()
    Dim userName As String
    Dim orderCount As Integer
    Dim isPremiumUser As Boolean
    userName = "Jagadish"
    orderCount = 25
    isPremiumUser = True
    MsgBox "User: " &amp; userName &amp; vbCrLf &amp; _
           "Orders: " &amp; orderCount &amp; vbCrLf &amp; _
           "Premium User: " &amp; isPremiumUser
End Sub</t>
  </si>
  <si>
    <t>Sub CheckA1()
    If IsNumeric(Range("A1").Value) Then
        If Range("A1").Value &gt; 100 Then
            Range("A1").Interior.Color = RGB(0, 255, 0)
        Else
            Range("A1").Interior.Color = RGB(255, 0, 0)
        End If
    Else
        MsgBox "A1 does not contain a number."
    End If
End Sub</t>
  </si>
  <si>
    <t>Sub FillRowNumbers()
    Dim i As Integer
    For i = 1 To 10
        Cells(i, 1).Value = i
    Next i
End Sub</t>
  </si>
  <si>
    <t>Sub BoldAllSheets()
    Dim ws As Worksheet
    For Each ws In ThisWorkbook.Worksheets
        With ws.Range("A1:D1")
            .Font.Bold = True
            .Font.Size = 14
        End With
    Next ws
End Sub</t>
  </si>
  <si>
    <t>Manual macro recorder steps</t>
  </si>
  <si>
    <t>Recorded Macro</t>
  </si>
  <si>
    <t>Developer &gt; Record Macro &gt; name it Highlight_A_Followers.</t>
  </si>
  <si>
    <t>Delete blank rows from column A using Find/Select or filter, then sort column A A-Z. Stop Recording.</t>
  </si>
  <si>
    <t>To highlight A names without VBA: select the follower range &gt; Home &gt; Conditional Formatting &gt; Highlight Cells Rules &gt; Text that Contains &gt; enter A; OR use 'New Rule' formula =LEFT(A2,1)="A" and choose yellow fill. If the assignment specifically requires the recorder, record the formatting operation as part of the macro.</t>
  </si>
  <si>
    <t>Run the macro and verify blanks are removed, names sorted, and A-starting names are yellow.</t>
  </si>
  <si>
    <t>Match ID</t>
  </si>
  <si>
    <t>Team 1</t>
  </si>
  <si>
    <t>Team 2</t>
  </si>
  <si>
    <t>Winner</t>
  </si>
  <si>
    <t>Runs 1</t>
  </si>
  <si>
    <t>Runs 2</t>
  </si>
  <si>
    <t>M001</t>
  </si>
  <si>
    <t>MI</t>
  </si>
  <si>
    <t>CSK</t>
  </si>
  <si>
    <t>M002</t>
  </si>
  <si>
    <t>RCB</t>
  </si>
  <si>
    <t>GT</t>
  </si>
  <si>
    <t>M003</t>
  </si>
  <si>
    <t>KKR</t>
  </si>
  <si>
    <t>M004</t>
  </si>
  <si>
    <t>RR</t>
  </si>
  <si>
    <t>M005</t>
  </si>
  <si>
    <t>Track</t>
  </si>
  <si>
    <t>Artist</t>
  </si>
  <si>
    <t>Album</t>
  </si>
  <si>
    <t xml:space="preserve">  Believer  </t>
  </si>
  <si>
    <t>Imagine Dragons</t>
  </si>
  <si>
    <t xml:space="preserve">  Evolve</t>
  </si>
  <si>
    <t>Shape of You</t>
  </si>
  <si>
    <t xml:space="preserve">  Ed Sheeran </t>
  </si>
  <si>
    <t>Divide</t>
  </si>
  <si>
    <t xml:space="preserve">  Perfect</t>
  </si>
  <si>
    <t>Ed Sheeran</t>
  </si>
  <si>
    <t xml:space="preserve">Blinding Lights </t>
  </si>
  <si>
    <t>The Weeknd</t>
  </si>
  <si>
    <t xml:space="preserve"> After Hours </t>
  </si>
  <si>
    <t>Believer</t>
  </si>
  <si>
    <t>Evolve</t>
  </si>
  <si>
    <t>Product</t>
  </si>
  <si>
    <t>Category</t>
  </si>
  <si>
    <t>Sales</t>
  </si>
  <si>
    <t>Quantity</t>
  </si>
  <si>
    <t>Button task</t>
  </si>
  <si>
    <t>FK001</t>
  </si>
  <si>
    <t>Headphones</t>
  </si>
  <si>
    <t>Electronics</t>
  </si>
  <si>
    <t>Insert Form Control Button &gt; Assign Refresh_All_Pivots</t>
  </si>
  <si>
    <t>FK002</t>
  </si>
  <si>
    <t>Phone</t>
  </si>
  <si>
    <t>The VBA code is on 18_VBA_Code.</t>
  </si>
  <si>
    <t>FK003</t>
  </si>
  <si>
    <t>Watch</t>
  </si>
  <si>
    <t>FK004</t>
  </si>
  <si>
    <t>Fashion</t>
  </si>
  <si>
    <t>FK005</t>
  </si>
  <si>
    <t>FK006</t>
  </si>
  <si>
    <t>Shoes</t>
  </si>
  <si>
    <t>FK007</t>
  </si>
  <si>
    <t>FK008</t>
  </si>
  <si>
    <t>FK009</t>
  </si>
  <si>
    <t>Laptop</t>
  </si>
  <si>
    <t>FK010</t>
  </si>
  <si>
    <t>FK011</t>
  </si>
  <si>
    <t>FK012</t>
  </si>
  <si>
    <t>FK013</t>
  </si>
  <si>
    <t>FK014</t>
  </si>
  <si>
    <t>FK015</t>
  </si>
  <si>
    <t>FK016</t>
  </si>
  <si>
    <t>FK017</t>
  </si>
  <si>
    <t>FK018</t>
  </si>
  <si>
    <t>FK019</t>
  </si>
  <si>
    <t>FK020</t>
  </si>
  <si>
    <t>FK021</t>
  </si>
  <si>
    <t>FK022</t>
  </si>
  <si>
    <t>FK023</t>
  </si>
  <si>
    <t>FK024</t>
  </si>
  <si>
    <t>FK025</t>
  </si>
  <si>
    <t>FK026</t>
  </si>
  <si>
    <t>FK027</t>
  </si>
  <si>
    <t>FK028</t>
  </si>
  <si>
    <t>FK029</t>
  </si>
  <si>
    <t>FK030</t>
  </si>
  <si>
    <t>ZOMATO SALES DASHBOARD</t>
  </si>
  <si>
    <t>Use this sheet as the dashboard to export.</t>
  </si>
  <si>
    <t>Required PDF filename:</t>
  </si>
  <si>
    <t>Zomato_Sales_Dashboard.pdf</t>
  </si>
  <si>
    <t>VBA macro is provided in 18_VBA_Code.</t>
  </si>
  <si>
    <t>Details</t>
  </si>
  <si>
    <t>Refresh Power Query</t>
  </si>
  <si>
    <t>Use Data &gt; Refresh All or the provided VBA macro.</t>
  </si>
  <si>
    <t>Success message</t>
  </si>
  <si>
    <t>Data refreshed successfully!</t>
  </si>
  <si>
    <t>Note</t>
  </si>
  <si>
    <t>The macro attempts to refresh workbook connections and then shows the message.</t>
  </si>
  <si>
    <t>Item</t>
  </si>
  <si>
    <t>Content</t>
  </si>
  <si>
    <t>Prompt used with ChatGPT/Copilot</t>
  </si>
  <si>
    <t>Write a simple Excel VBA macro that refreshes all Power Query/workbook connections and then displays a message box saying "Data refreshed successfully!". Include basic error handling so the user receives a clear message if the refresh fails.</t>
  </si>
  <si>
    <t>Macro Name</t>
  </si>
  <si>
    <t>Use For</t>
  </si>
  <si>
    <t>WriteNameBold</t>
  </si>
  <si>
    <t>Sub WriteNameBold()
    With ActiveSheet.Range("A1")
        .Value = "Jagadish Prajapati"
        .Font.Bold = True
    End With
End Sub</t>
  </si>
  <si>
    <t>Basic recorded/manual macro task</t>
  </si>
  <si>
    <t>FormatFoodOrders</t>
  </si>
  <si>
    <t>Sub FormatFoodOrders()
    With ActiveSheet.Range("A1:D11")
        .Borders.LineStyle = xlContinuous
    End With
    With ActiveSheet.Range("A1:D1")
        .Font.Bold = True
        .Interior.Color = RGB(31, 78, 121)
        .Font.Color = RGB(255, 255, 255)
    End With
    ActiveSheet.Columns("A:D").AutoFit
End Sub</t>
  </si>
  <si>
    <t>10-order formatting</t>
  </si>
  <si>
    <t>CleanFollowers</t>
  </si>
  <si>
    <t>Sub CleanFollowers()
    Dim ws As Worksheet
    Dim lastRow As Long
    Set ws = ActiveSheet
    lastRow = ws.Cells(ws.Rows.Count, "A").End(xlUp).Row
    On Error Resume Next
    ws.Range("A2:A" &amp; lastRow).SpecialCells(xlCellTypeBlanks).EntireRow.Delete
    On Error GoTo 0
    lastRow = ws.Cells(ws.Rows.Count, "A").End(xlUp).Row
    ws.Range("A1:A" &amp; lastRow).Sort Key1:=ws.Range("A2"), Order1:=xlAscending, Header:=xlYes
End Sub</t>
  </si>
  <si>
    <t>Instagram followers task</t>
  </si>
  <si>
    <t>HighlightAFollowers</t>
  </si>
  <si>
    <t>Sub HighlightAFollowers()
    Dim c As Range
    For Each c In ActiveSheet.Range("A2:A" &amp; ActiveSheet.Cells(Rows.Count, "A").End(xlUp).Row)
        If UCase(Left(Trim(c.Value), 1)) = "A" Then
            c.Interior.Color = RGB(255, 255, 0)
        End If
    Next c
End Sub</t>
  </si>
  <si>
    <t>Highlight names beginning with A</t>
  </si>
  <si>
    <t>FormatIPL</t>
  </si>
  <si>
    <t>Sub FormatIPL()
    Dim ws As Worksheet
    Set ws = ActiveSheet
    With ws.Range("A1:F" &amp; ws.Cells(ws.Rows.Count, "A").End(xlUp).Row)
        .Borders.LineStyle = xlContinuous
    End With
    With ws.Range("A1:F1")
        .Font.Bold = True
        .Interior.Color = RGB(31, 78, 121)
        .Font.Color = RGB(255, 255, 255)
    End With
    ws.Columns("A:F").AutoFit
End Sub</t>
  </si>
  <si>
    <t>IPL formatting</t>
  </si>
  <si>
    <t>CleanPlaylistData</t>
  </si>
  <si>
    <t>Sub CleanPlaylistData()
    Dim ws As Worksheet
    Dim lastRow As Long, lastCol As Long
    Set ws = ActiveSheet
    lastRow = ws.Cells(ws.Rows.Count, 1).End(xlUp).Row
    lastCol = ws.Cells(1, ws.Columns.Count).End(xlToLeft).Column
    Dim rng As Range, cell As Range
    Set rng = ws.Range(ws.Cells(2, 1), ws.Cells(lastRow, lastCol))
    For Each cell In rng
        If VarType(cell.Value) = vbString Then cell.Value = Application.WorksheetFunction.Trim(cell.Value)
    Next cell
    ws.Range(ws.Cells(1,1), ws.Cells(lastRow,lastCol)).RemoveDuplicates Columns:=Evaluate("ROW(1:" &amp; lastCol &amp; ")"), Header:=xlYes
End Sub</t>
  </si>
  <si>
    <t>Spotify playlist cleaning</t>
  </si>
  <si>
    <t>Refresh_All_Pivots</t>
  </si>
  <si>
    <t>Sub Refresh_All_Pivots()
    ThisWorkbook.RefreshAll
    Dim ws As Worksheet, pt As PivotTable
    For Each ws In ThisWorkbook.Worksheets
        For Each pt In ws.PivotTables
            pt.RefreshTable
        Next pt
    Next ws
    MsgBox "PivotTables and dashboard data refreshed.", vbInformation
End Sub</t>
  </si>
  <si>
    <t>Flipkart dashboard button</t>
  </si>
  <si>
    <t>Export_Zomato_PDF</t>
  </si>
  <si>
    <t>Sub Export_Zomato_PDF()
    Dim filePath As String
    Dim ws As Worksheet
    Set ws = ThisWorkbook.Worksheets("15_Zomato_PDF")
    filePath = Environ("USERPROFILE") &amp; "\Desktop\Zomato_Sales_Dashboard.pdf"
    On Error Resume Next
    ws.ExportAsFixedFormat Type:=xlTypePDF, Filename:=filePath, Quality:=xlQualityStandard, _
        IncludeDocProperties:=True, IgnorePrintAreas:=False, OpenAfterPublish:=False
    If Err.Number &lt;&gt; 0 Then
        MsgBox "PDF could not be saved: " &amp; Err.Description, vbExclamation
        Err.Clear
    Else
        MsgBox "PDF exported successfully to Desktop.", vbInformation
    End If
    On Error GoTo 0
End Sub</t>
  </si>
  <si>
    <t>Export dashboard as PDF</t>
  </si>
  <si>
    <t>RefreshPowerQuery</t>
  </si>
  <si>
    <t>Sub RefreshPowerQuery()
    On Error GoTo ErrHandler
    ThisWorkbook.RefreshAll
    Application.CalculateUntilAsyncQueriesDone
    MsgBox "Data refreshed successfully!", vbInformation
    Exit Sub
ErrHandler:
    MsgBox "Data refresh failed: " &amp; Err.Description, vbExclamation
End Sub</t>
  </si>
  <si>
    <t>Power Query refresh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</si>
</sst>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00"/>
  </numFmts>
  <fonts count="5" x14ac:knownFonts="1">
    <font>
      <sz val="11"/>
      <color theme="1"/>
      <name val="Calibri"/>
      <family val="2"/>
      <scheme val="minor"/>
    </font>
    <font>
      <b/>
      <sz val="11"/>
      <color rgb="FFFFFFFF"/>
      <name val="Calibri"/>
      <family val="2"/>
    </font>
    <font>
      <b/>
      <sz val="18"/>
      <name val="Calibri"/>
      <family val="2"/>
    </font>
    <font>
      <b/>
      <sz val="11"/>
      <color theme="1"/>
      <name val="Calibri"/>
      <family val="2"/>
    </font>
    <font>
      <b/>
      <sz val="11"/>
      <name val="Calibri"/>
      <family val="2"/>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2">
    <border>
      <left/>
      <right/>
      <top/>
      <bottom/>
      <diagonal/>
    </border>
    <border>
      <left/>
      <right/>
      <top/>
      <bottom style="thin">
        <color rgb="FFB7B7B7"/>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0" fillId="0" borderId="0" xfId="0" applyAlignment="1">
      <alignment vertical="top" wrapText="1"/>
    </xf>
    <xf numFmtId="165" fontId="0" fillId="0" borderId="0" xfId="0" applyNumberFormat="1"/>
    <xf numFmtId="166" fontId="0" fillId="0" borderId="0" xfId="0" applyNumberFormat="1"/>
    <xf numFmtId="0" fontId="2" fillId="0" borderId="0" xfId="0" applyFont="1"/>
    <xf numFmtId="0" fontId="0" fillId="0" borderId="0" xfId="0" applyAlignment="1">
      <alignment vertical="top" wrapText="1"/>
    </xf>
    <xf numFmtId="0" fontId="0" fillId="0" borderId="0" xfId="0"/>
    <xf numFmtId="0" fontId="3" fillId="3" borderId="1" xfId="0" applyFont="1" applyFill="1" applyBorder="1" applyAlignment="1">
      <alignment horizontal="center"/>
    </xf>
    <xf numFmtId="0" fontId="4" fillId="3" borderId="1" xfId="0" applyFont="1" applyFill="1" applyBorder="1" applyAlignment="1">
      <alignment horizontal="center"/>
    </xf>
    <xf numFmtId="0" fontId="4" fillId="3" borderId="0" xfId="0" applyFont="1" applyFill="1"/>
  </cellXfs>
  <cellStyles count="1">
    <cellStyle name="Normal" xfId="0" builtinId="0"/>
  </cellStyles>
  <dxfs count="5">
    <dxf>
      <font>
        <strike val="0"/>
        <outline val="0"/>
        <shadow val="0"/>
        <u val="none"/>
        <vertAlign val="baseline"/>
        <sz val="11"/>
        <color auto="1"/>
        <name val="Calibri"/>
        <family val="2"/>
        <scheme val="none"/>
      </font>
      <fill>
        <patternFill patternType="solid">
          <fgColor indexed="64"/>
          <bgColor rgb="FFFFFF00"/>
        </patternFill>
      </fill>
    </dxf>
    <dxf>
      <font>
        <strike val="0"/>
        <outline val="0"/>
        <shadow val="0"/>
        <u val="none"/>
        <vertAlign val="baseline"/>
        <sz val="11"/>
        <color auto="1"/>
        <name val="Calibri"/>
        <family val="2"/>
        <scheme val="none"/>
      </font>
      <fill>
        <patternFill patternType="solid">
          <fgColor indexed="64"/>
          <bgColor rgb="FFFFFF00"/>
        </patternFill>
      </fill>
    </dxf>
    <dxf>
      <font>
        <strike val="0"/>
        <outline val="0"/>
        <shadow val="0"/>
        <u val="none"/>
        <vertAlign val="baseline"/>
        <sz val="11"/>
        <color auto="1"/>
        <name val="Calibri"/>
        <family val="2"/>
        <scheme val="none"/>
      </font>
      <fill>
        <patternFill patternType="solid">
          <fgColor indexed="64"/>
          <bgColor rgb="FFFFFF00"/>
        </patternFill>
      </fill>
    </dxf>
    <dxf>
      <font>
        <strike val="0"/>
        <outline val="0"/>
        <shadow val="0"/>
        <u val="none"/>
        <vertAlign val="baseline"/>
        <sz val="11"/>
        <color auto="1"/>
        <name val="Calibri"/>
        <family val="2"/>
        <scheme val="none"/>
      </font>
      <fill>
        <patternFill patternType="solid">
          <fgColor indexed="64"/>
          <bgColor rgb="FFFFFF00"/>
        </patternFill>
      </fill>
    </dxf>
    <dxf>
      <font>
        <strike val="0"/>
        <outline val="0"/>
        <shadow val="0"/>
        <u val="none"/>
        <vertAlign val="baseline"/>
        <sz val="11"/>
        <color auto="1"/>
        <name val="Calibri"/>
        <family val="2"/>
        <scheme val="none"/>
      </font>
      <fill>
        <patternFill patternType="solid">
          <fgColor indexed="64"/>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Orders by City</a:t>
            </a:r>
          </a:p>
        </c:rich>
      </c:tx>
      <c:overlay val="1"/>
    </c:title>
    <c:autoTitleDeleted val="0"/>
    <c:plotArea>
      <c:layout/>
      <c:barChart>
        <c:barDir val="col"/>
        <c:grouping val="clustered"/>
        <c:varyColors val="1"/>
        <c:ser>
          <c:idx val="0"/>
          <c:order val="0"/>
          <c:tx>
            <c:strRef>
              <c:f>'05_City_Summary'!$B$1</c:f>
              <c:strCache>
                <c:ptCount val="1"/>
                <c:pt idx="0">
                  <c:v>Total Orders</c:v>
                </c:pt>
              </c:strCache>
            </c:strRef>
          </c:tx>
          <c:spPr>
            <a:ln>
              <a:prstDash val="solid"/>
            </a:ln>
          </c:spPr>
          <c:invertIfNegative val="1"/>
          <c:cat>
            <c:strRef>
              <c:f>'05_City_Summary'!$A$2:$A$6</c:f>
              <c:strCache>
                <c:ptCount val="5"/>
                <c:pt idx="0">
                  <c:v>Ahmedabad</c:v>
                </c:pt>
                <c:pt idx="1">
                  <c:v>Surat</c:v>
                </c:pt>
                <c:pt idx="2">
                  <c:v>Vadodara</c:v>
                </c:pt>
                <c:pt idx="3">
                  <c:v>Rajkot</c:v>
                </c:pt>
                <c:pt idx="4">
                  <c:v>Gandhinagar</c:v>
                </c:pt>
              </c:strCache>
            </c:strRef>
          </c:cat>
          <c:val>
            <c:numRef>
              <c:f>'05_City_Summary'!$B$2:$B$6</c:f>
              <c:numCache>
                <c:formatCode>General</c:formatCode>
                <c:ptCount val="5"/>
                <c:pt idx="0">
                  <c:v>26</c:v>
                </c:pt>
                <c:pt idx="1">
                  <c:v>19</c:v>
                </c:pt>
                <c:pt idx="2">
                  <c:v>19</c:v>
                </c:pt>
                <c:pt idx="3">
                  <c:v>21</c:v>
                </c:pt>
                <c:pt idx="4">
                  <c:v>15</c:v>
                </c:pt>
              </c:numCache>
            </c:numRef>
          </c:val>
          <c:extLst>
            <c:ext xmlns:c16="http://schemas.microsoft.com/office/drawing/2014/chart" uri="{C3380CC4-5D6E-409C-BE32-E72D297353CC}">
              <c16:uniqueId val="{00000000-19F5-4150-AD91-84C6CEA3E9B3}"/>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City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Orders</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0</xdr:colOff>
      <xdr:row>1</xdr:row>
      <xdr:rowOff>0</xdr:rowOff>
    </xdr:from>
    <xdr:ext cx="4320000" cy="25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odOrdersRaw" displayName="FoodOrdersRaw" ref="A1:H104" headerRowDxfId="4">
  <autoFilter ref="A1:H104" xr:uid="{00000000-0009-0000-0100-000001000000}"/>
  <tableColumns count="8">
    <tableColumn id="1" xr3:uid="{00000000-0010-0000-0000-000001000000}" name="Order ID"/>
    <tableColumn id="2" xr3:uid="{00000000-0010-0000-0000-000002000000}" name="Restaurant ID"/>
    <tableColumn id="3" xr3:uid="{00000000-0010-0000-0000-000003000000}" name="City"/>
    <tableColumn id="4" xr3:uid="{00000000-0010-0000-0000-000004000000}" name="Delivery Date"/>
    <tableColumn id="5" xr3:uid="{00000000-0010-0000-0000-000005000000}" name="Delivery Partner"/>
    <tableColumn id="6" xr3:uid="{00000000-0010-0000-0000-000006000000}" name="Delivery Time (min)"/>
    <tableColumn id="7" xr3:uid="{00000000-0010-0000-0000-000007000000}" name="Delivery Charge"/>
    <tableColumn id="8" xr3:uid="{00000000-0010-0000-0000-000008000000}"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Orders" displayName="CleanOrders" ref="A1:H101" headerRowDxfId="3">
  <autoFilter ref="A1:H101" xr:uid="{00000000-0009-0000-0100-000002000000}"/>
  <tableColumns count="8">
    <tableColumn id="1" xr3:uid="{00000000-0010-0000-0100-000001000000}" name="Order ID"/>
    <tableColumn id="2" xr3:uid="{00000000-0010-0000-0100-000002000000}" name="Restaurant ID"/>
    <tableColumn id="3" xr3:uid="{00000000-0010-0000-0100-000003000000}" name="City"/>
    <tableColumn id="4" xr3:uid="{00000000-0010-0000-0100-000004000000}" name="Delivery Date"/>
    <tableColumn id="5" xr3:uid="{00000000-0010-0000-0100-000005000000}" name="Delivery Partner"/>
    <tableColumn id="6" xr3:uid="{00000000-0010-0000-0100-000006000000}" name="Delivery Time (min)"/>
    <tableColumn id="7" xr3:uid="{00000000-0010-0000-0100-000007000000}" name="Delivery Charge"/>
    <tableColumn id="8" xr3:uid="{00000000-0010-0000-0100-000008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taurantDetails" displayName="RestaurantDetails" ref="A1:C11" headerRowDxfId="2">
  <autoFilter ref="A1:C11" xr:uid="{00000000-0009-0000-0100-000003000000}"/>
  <tableColumns count="3">
    <tableColumn id="1" xr3:uid="{00000000-0010-0000-0200-000001000000}" name="Restaurant ID"/>
    <tableColumn id="2" xr3:uid="{00000000-0010-0000-0200-000002000000}" name="Restaurant Name"/>
    <tableColumn id="3" xr3:uid="{00000000-0010-0000-0200-000003000000}" name="Restaurant Ci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ookupOrders" displayName="LookupOrders" ref="A1:I101" headerRowDxfId="1">
  <autoFilter ref="A1:I101" xr:uid="{00000000-0009-0000-0100-000004000000}"/>
  <tableColumns count="9">
    <tableColumn id="1" xr3:uid="{00000000-0010-0000-0300-000001000000}" name="Order ID"/>
    <tableColumn id="2" xr3:uid="{00000000-0010-0000-0300-000002000000}" name="Restaurant ID"/>
    <tableColumn id="3" xr3:uid="{00000000-0010-0000-0300-000003000000}" name="City"/>
    <tableColumn id="4" xr3:uid="{00000000-0010-0000-0300-000004000000}" name="Delivery Date"/>
    <tableColumn id="5" xr3:uid="{00000000-0010-0000-0300-000005000000}" name="Delivery Partner"/>
    <tableColumn id="6" xr3:uid="{00000000-0010-0000-0300-000006000000}" name="Delivery Time (min)"/>
    <tableColumn id="7" xr3:uid="{00000000-0010-0000-0300-000007000000}" name="Delivery Charge"/>
    <tableColumn id="8" xr3:uid="{00000000-0010-0000-0300-000008000000}" name="Status"/>
    <tableColumn id="9" xr3:uid="{00000000-0010-0000-0300-000009000000}" name="Restaurant 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ayExtraction" displayName="DayExtraction" ref="A1:D101" headerRowDxfId="0">
  <autoFilter ref="A1:D101" xr:uid="{00000000-0009-0000-0100-000005000000}"/>
  <tableColumns count="4">
    <tableColumn id="1" xr3:uid="{00000000-0010-0000-0400-000001000000}" name="Order ID"/>
    <tableColumn id="2" xr3:uid="{00000000-0010-0000-0400-000002000000}" name="Delivery Date"/>
    <tableColumn id="3" xr3:uid="{00000000-0010-0000-0400-000003000000}" name="Day of Week"/>
    <tableColumn id="4" xr3:uid="{00000000-0010-0000-0400-000004000000}" name="WEEKDAY 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 sqref="A1:B1"/>
    </sheetView>
  </sheetViews>
  <sheetFormatPr defaultRowHeight="14.4" x14ac:dyDescent="0.3"/>
  <cols>
    <col min="1" max="1" width="10" customWidth="1"/>
    <col min="2" max="2" width="110" customWidth="1"/>
  </cols>
  <sheetData>
    <row r="1" spans="1:2" x14ac:dyDescent="0.3">
      <c r="A1" s="8" t="s">
        <v>0</v>
      </c>
      <c r="B1" s="8" t="s">
        <v>1</v>
      </c>
    </row>
    <row r="2" spans="1:2" x14ac:dyDescent="0.3">
      <c r="A2" t="s">
        <v>2</v>
      </c>
      <c r="B2" s="2" t="s">
        <v>3</v>
      </c>
    </row>
    <row r="3" spans="1:2" ht="28.8" x14ac:dyDescent="0.3">
      <c r="A3" t="s">
        <v>4</v>
      </c>
      <c r="B3" s="2" t="s">
        <v>5</v>
      </c>
    </row>
    <row r="4" spans="1:2" ht="28.8" x14ac:dyDescent="0.3">
      <c r="A4" t="s">
        <v>6</v>
      </c>
      <c r="B4" s="2" t="s">
        <v>7</v>
      </c>
    </row>
    <row r="5" spans="1:2" ht="28.8" x14ac:dyDescent="0.3">
      <c r="A5" t="s">
        <v>8</v>
      </c>
      <c r="B5" s="2" t="s">
        <v>9</v>
      </c>
    </row>
    <row r="6" spans="1:2" x14ac:dyDescent="0.3">
      <c r="A6" t="s">
        <v>10</v>
      </c>
      <c r="B6" s="2" t="s">
        <v>11</v>
      </c>
    </row>
    <row r="7" spans="1:2" ht="28.8" x14ac:dyDescent="0.3">
      <c r="A7" t="s">
        <v>12</v>
      </c>
      <c r="B7" s="2" t="s">
        <v>13</v>
      </c>
    </row>
    <row r="8" spans="1:2" x14ac:dyDescent="0.3">
      <c r="A8" t="s">
        <v>14</v>
      </c>
      <c r="B8" s="2" t="s">
        <v>15</v>
      </c>
    </row>
    <row r="9" spans="1:2" x14ac:dyDescent="0.3">
      <c r="A9" t="s">
        <v>16</v>
      </c>
      <c r="B9" s="2" t="s">
        <v>17</v>
      </c>
    </row>
    <row r="10" spans="1:2" x14ac:dyDescent="0.3">
      <c r="A10" t="s">
        <v>18</v>
      </c>
      <c r="B10" s="2" t="s">
        <v>19</v>
      </c>
    </row>
    <row r="11" spans="1:2" ht="28.8" x14ac:dyDescent="0.3">
      <c r="A11" t="s">
        <v>20</v>
      </c>
      <c r="B11" s="2" t="s">
        <v>21</v>
      </c>
    </row>
    <row r="12" spans="1:2" x14ac:dyDescent="0.3">
      <c r="A12" t="s">
        <v>22</v>
      </c>
      <c r="B12" s="2" t="s">
        <v>23</v>
      </c>
    </row>
    <row r="13" spans="1:2" x14ac:dyDescent="0.3">
      <c r="A13" t="s">
        <v>24</v>
      </c>
      <c r="B13" s="2"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4"/>
  <sheetViews>
    <sheetView workbookViewId="0">
      <pane ySplit="1" topLeftCell="A14" activePane="bottomLeft" state="frozen"/>
      <selection pane="bottomLeft" activeCell="H1" sqref="A1:H1"/>
    </sheetView>
  </sheetViews>
  <sheetFormatPr defaultRowHeight="14.4" x14ac:dyDescent="0.3"/>
  <cols>
    <col min="1" max="1" width="10" customWidth="1"/>
    <col min="2" max="2" width="15" customWidth="1"/>
    <col min="3" max="3" width="13" customWidth="1"/>
    <col min="4" max="4" width="15" customWidth="1"/>
    <col min="5" max="5" width="18" customWidth="1"/>
    <col min="6" max="6" width="21" customWidth="1"/>
    <col min="7" max="7" width="17" customWidth="1"/>
    <col min="8" max="8" width="11" customWidth="1"/>
  </cols>
  <sheetData>
    <row r="1" spans="1:8" x14ac:dyDescent="0.3">
      <c r="A1" s="9" t="s">
        <v>26</v>
      </c>
      <c r="B1" s="9" t="s">
        <v>27</v>
      </c>
      <c r="C1" s="9" t="s">
        <v>28</v>
      </c>
      <c r="D1" s="9" t="s">
        <v>29</v>
      </c>
      <c r="E1" s="9" t="s">
        <v>30</v>
      </c>
      <c r="F1" s="9" t="s">
        <v>31</v>
      </c>
      <c r="G1" s="9" t="s">
        <v>32</v>
      </c>
      <c r="H1" s="9" t="s">
        <v>33</v>
      </c>
    </row>
    <row r="2" spans="1:8" x14ac:dyDescent="0.3">
      <c r="A2" t="s">
        <v>34</v>
      </c>
      <c r="B2">
        <v>1003</v>
      </c>
      <c r="C2" t="s">
        <v>35</v>
      </c>
      <c r="D2" t="s">
        <v>36</v>
      </c>
      <c r="F2">
        <v>29</v>
      </c>
      <c r="G2">
        <v>257.61</v>
      </c>
      <c r="H2" t="s">
        <v>37</v>
      </c>
    </row>
    <row r="3" spans="1:8" x14ac:dyDescent="0.3">
      <c r="A3" t="s">
        <v>38</v>
      </c>
      <c r="B3">
        <v>1002</v>
      </c>
      <c r="C3" t="s">
        <v>35</v>
      </c>
      <c r="D3" t="s">
        <v>39</v>
      </c>
      <c r="E3" t="s">
        <v>40</v>
      </c>
      <c r="F3">
        <v>38</v>
      </c>
      <c r="G3">
        <v>342.59</v>
      </c>
      <c r="H3" t="s">
        <v>37</v>
      </c>
    </row>
    <row r="4" spans="1:8" x14ac:dyDescent="0.3">
      <c r="A4" t="s">
        <v>41</v>
      </c>
      <c r="B4">
        <v>1009</v>
      </c>
      <c r="C4" t="s">
        <v>42</v>
      </c>
      <c r="D4" t="s">
        <v>43</v>
      </c>
      <c r="E4" t="s">
        <v>40</v>
      </c>
      <c r="F4">
        <v>54</v>
      </c>
      <c r="G4">
        <v>313.22000000000003</v>
      </c>
      <c r="H4" t="s">
        <v>37</v>
      </c>
    </row>
    <row r="5" spans="1:8" x14ac:dyDescent="0.3">
      <c r="A5" t="s">
        <v>44</v>
      </c>
      <c r="B5">
        <v>1005</v>
      </c>
      <c r="C5" t="s">
        <v>42</v>
      </c>
      <c r="D5" t="s">
        <v>45</v>
      </c>
      <c r="E5" t="s">
        <v>46</v>
      </c>
      <c r="F5">
        <v>25</v>
      </c>
      <c r="G5">
        <v>220.68</v>
      </c>
      <c r="H5" t="s">
        <v>37</v>
      </c>
    </row>
    <row r="6" spans="1:8" x14ac:dyDescent="0.3">
      <c r="A6" t="s">
        <v>47</v>
      </c>
      <c r="B6">
        <v>1006</v>
      </c>
      <c r="C6" t="s">
        <v>48</v>
      </c>
      <c r="D6" t="s">
        <v>49</v>
      </c>
      <c r="E6" t="s">
        <v>50</v>
      </c>
      <c r="F6">
        <v>29</v>
      </c>
      <c r="G6">
        <v>336.58</v>
      </c>
      <c r="H6" t="s">
        <v>37</v>
      </c>
    </row>
    <row r="7" spans="1:8" x14ac:dyDescent="0.3">
      <c r="A7" t="s">
        <v>51</v>
      </c>
      <c r="B7">
        <v>1009</v>
      </c>
      <c r="C7" t="s">
        <v>35</v>
      </c>
      <c r="D7" t="s">
        <v>39</v>
      </c>
      <c r="E7" t="s">
        <v>50</v>
      </c>
      <c r="F7">
        <v>29</v>
      </c>
      <c r="G7">
        <v>173.89</v>
      </c>
      <c r="H7" t="s">
        <v>37</v>
      </c>
    </row>
    <row r="8" spans="1:8" x14ac:dyDescent="0.3">
      <c r="A8" t="s">
        <v>52</v>
      </c>
      <c r="B8">
        <v>1009</v>
      </c>
      <c r="C8" t="s">
        <v>53</v>
      </c>
      <c r="D8" t="s">
        <v>54</v>
      </c>
      <c r="E8" t="s">
        <v>50</v>
      </c>
      <c r="F8">
        <v>50</v>
      </c>
      <c r="G8">
        <v>128.13</v>
      </c>
      <c r="H8" t="s">
        <v>55</v>
      </c>
    </row>
    <row r="9" spans="1:8" x14ac:dyDescent="0.3">
      <c r="A9" t="s">
        <v>56</v>
      </c>
      <c r="B9">
        <v>1007</v>
      </c>
      <c r="C9" t="s">
        <v>35</v>
      </c>
      <c r="D9" t="s">
        <v>57</v>
      </c>
      <c r="E9" t="s">
        <v>58</v>
      </c>
      <c r="F9">
        <v>43</v>
      </c>
      <c r="G9">
        <v>220.6</v>
      </c>
      <c r="H9" t="s">
        <v>37</v>
      </c>
    </row>
    <row r="10" spans="1:8" x14ac:dyDescent="0.3">
      <c r="A10" t="s">
        <v>59</v>
      </c>
      <c r="B10">
        <v>1010</v>
      </c>
      <c r="C10" t="s">
        <v>48</v>
      </c>
      <c r="D10" t="s">
        <v>60</v>
      </c>
      <c r="E10" t="s">
        <v>61</v>
      </c>
      <c r="F10">
        <v>51</v>
      </c>
      <c r="G10">
        <v>172.48</v>
      </c>
      <c r="H10" t="s">
        <v>37</v>
      </c>
    </row>
    <row r="11" spans="1:8" x14ac:dyDescent="0.3">
      <c r="A11" t="s">
        <v>62</v>
      </c>
      <c r="B11">
        <v>1008</v>
      </c>
      <c r="C11" t="s">
        <v>63</v>
      </c>
      <c r="D11" t="s">
        <v>64</v>
      </c>
      <c r="E11" t="s">
        <v>61</v>
      </c>
      <c r="F11">
        <v>43</v>
      </c>
      <c r="G11">
        <v>58</v>
      </c>
      <c r="H11" t="s">
        <v>37</v>
      </c>
    </row>
    <row r="12" spans="1:8" x14ac:dyDescent="0.3">
      <c r="A12" t="s">
        <v>65</v>
      </c>
      <c r="B12">
        <v>1009</v>
      </c>
      <c r="C12" t="s">
        <v>35</v>
      </c>
      <c r="D12" t="s">
        <v>66</v>
      </c>
      <c r="E12" t="s">
        <v>40</v>
      </c>
      <c r="F12">
        <v>24</v>
      </c>
      <c r="G12">
        <v>182.28</v>
      </c>
      <c r="H12" t="s">
        <v>37</v>
      </c>
    </row>
    <row r="13" spans="1:8" x14ac:dyDescent="0.3">
      <c r="A13" t="s">
        <v>67</v>
      </c>
      <c r="B13">
        <v>1003</v>
      </c>
      <c r="C13" t="s">
        <v>53</v>
      </c>
      <c r="D13" t="s">
        <v>60</v>
      </c>
      <c r="E13" t="s">
        <v>61</v>
      </c>
      <c r="F13">
        <v>40</v>
      </c>
      <c r="G13">
        <v>95.45</v>
      </c>
      <c r="H13" t="s">
        <v>37</v>
      </c>
    </row>
    <row r="14" spans="1:8" x14ac:dyDescent="0.3">
      <c r="A14" t="s">
        <v>68</v>
      </c>
      <c r="B14">
        <v>1004</v>
      </c>
      <c r="C14" t="s">
        <v>42</v>
      </c>
      <c r="D14" t="s">
        <v>69</v>
      </c>
      <c r="E14" t="s">
        <v>70</v>
      </c>
      <c r="F14">
        <v>52</v>
      </c>
      <c r="G14">
        <v>81.72</v>
      </c>
      <c r="H14" t="s">
        <v>37</v>
      </c>
    </row>
    <row r="15" spans="1:8" x14ac:dyDescent="0.3">
      <c r="A15" t="s">
        <v>71</v>
      </c>
      <c r="B15">
        <v>1002</v>
      </c>
      <c r="C15" t="s">
        <v>53</v>
      </c>
      <c r="D15" t="s">
        <v>45</v>
      </c>
      <c r="E15" t="s">
        <v>61</v>
      </c>
      <c r="F15">
        <v>25</v>
      </c>
      <c r="G15">
        <v>296.70999999999998</v>
      </c>
      <c r="H15" t="s">
        <v>55</v>
      </c>
    </row>
    <row r="16" spans="1:8" x14ac:dyDescent="0.3">
      <c r="A16" t="s">
        <v>72</v>
      </c>
      <c r="B16">
        <v>1001</v>
      </c>
      <c r="C16" t="s">
        <v>53</v>
      </c>
      <c r="D16" t="s">
        <v>73</v>
      </c>
      <c r="E16" t="s">
        <v>46</v>
      </c>
      <c r="F16">
        <v>55</v>
      </c>
      <c r="G16">
        <v>128.1</v>
      </c>
      <c r="H16" t="s">
        <v>55</v>
      </c>
    </row>
    <row r="17" spans="1:8" x14ac:dyDescent="0.3">
      <c r="A17" t="s">
        <v>74</v>
      </c>
      <c r="B17">
        <v>1008</v>
      </c>
      <c r="C17" t="s">
        <v>53</v>
      </c>
      <c r="D17" t="s">
        <v>75</v>
      </c>
      <c r="E17" t="s">
        <v>58</v>
      </c>
      <c r="F17">
        <v>25</v>
      </c>
      <c r="G17">
        <v>294.14</v>
      </c>
      <c r="H17" t="s">
        <v>37</v>
      </c>
    </row>
    <row r="18" spans="1:8" x14ac:dyDescent="0.3">
      <c r="A18" t="s">
        <v>76</v>
      </c>
      <c r="B18">
        <v>1002</v>
      </c>
      <c r="C18" t="s">
        <v>53</v>
      </c>
      <c r="D18" t="s">
        <v>77</v>
      </c>
      <c r="E18" t="s">
        <v>58</v>
      </c>
      <c r="F18">
        <v>22</v>
      </c>
      <c r="G18">
        <v>145.58000000000001</v>
      </c>
      <c r="H18" t="s">
        <v>37</v>
      </c>
    </row>
    <row r="19" spans="1:8" x14ac:dyDescent="0.3">
      <c r="A19" t="s">
        <v>78</v>
      </c>
      <c r="B19">
        <v>1010</v>
      </c>
      <c r="C19" t="s">
        <v>42</v>
      </c>
      <c r="D19" t="s">
        <v>43</v>
      </c>
      <c r="E19" t="s">
        <v>50</v>
      </c>
      <c r="F19">
        <v>29</v>
      </c>
      <c r="G19">
        <v>52.98</v>
      </c>
      <c r="H19" t="s">
        <v>37</v>
      </c>
    </row>
    <row r="20" spans="1:8" x14ac:dyDescent="0.3">
      <c r="A20" t="s">
        <v>79</v>
      </c>
      <c r="B20">
        <v>1006</v>
      </c>
      <c r="C20" t="s">
        <v>53</v>
      </c>
      <c r="D20" t="s">
        <v>45</v>
      </c>
      <c r="E20" t="s">
        <v>50</v>
      </c>
      <c r="F20">
        <v>49</v>
      </c>
      <c r="G20">
        <v>308.52</v>
      </c>
      <c r="H20" t="s">
        <v>37</v>
      </c>
    </row>
    <row r="21" spans="1:8" x14ac:dyDescent="0.3">
      <c r="A21" t="s">
        <v>80</v>
      </c>
      <c r="B21">
        <v>1001</v>
      </c>
      <c r="C21" t="s">
        <v>63</v>
      </c>
      <c r="D21" t="s">
        <v>81</v>
      </c>
      <c r="E21" t="s">
        <v>70</v>
      </c>
      <c r="F21">
        <v>55</v>
      </c>
      <c r="G21">
        <v>185.69</v>
      </c>
      <c r="H21" t="s">
        <v>37</v>
      </c>
    </row>
    <row r="22" spans="1:8" x14ac:dyDescent="0.3">
      <c r="A22" t="s">
        <v>82</v>
      </c>
      <c r="B22">
        <v>1007</v>
      </c>
      <c r="C22" t="s">
        <v>63</v>
      </c>
      <c r="D22" t="s">
        <v>64</v>
      </c>
      <c r="E22" t="s">
        <v>46</v>
      </c>
      <c r="F22">
        <v>20</v>
      </c>
      <c r="G22">
        <v>113.69</v>
      </c>
      <c r="H22" t="s">
        <v>37</v>
      </c>
    </row>
    <row r="23" spans="1:8" x14ac:dyDescent="0.3">
      <c r="A23" t="s">
        <v>83</v>
      </c>
      <c r="B23">
        <v>1004</v>
      </c>
      <c r="C23" t="s">
        <v>35</v>
      </c>
      <c r="D23" t="s">
        <v>81</v>
      </c>
      <c r="F23">
        <v>42</v>
      </c>
      <c r="G23">
        <v>55.23</v>
      </c>
      <c r="H23" t="s">
        <v>55</v>
      </c>
    </row>
    <row r="24" spans="1:8" x14ac:dyDescent="0.3">
      <c r="A24" t="s">
        <v>84</v>
      </c>
      <c r="B24">
        <v>1008</v>
      </c>
      <c r="C24" t="s">
        <v>63</v>
      </c>
      <c r="D24" t="s">
        <v>85</v>
      </c>
      <c r="E24" t="s">
        <v>86</v>
      </c>
      <c r="F24">
        <v>25</v>
      </c>
      <c r="G24">
        <v>122.55</v>
      </c>
      <c r="H24" t="s">
        <v>37</v>
      </c>
    </row>
    <row r="25" spans="1:8" x14ac:dyDescent="0.3">
      <c r="A25" t="s">
        <v>87</v>
      </c>
      <c r="B25">
        <v>1010</v>
      </c>
      <c r="C25" t="s">
        <v>35</v>
      </c>
      <c r="D25" t="s">
        <v>77</v>
      </c>
      <c r="E25" t="s">
        <v>58</v>
      </c>
      <c r="F25">
        <v>21</v>
      </c>
      <c r="G25">
        <v>49.29</v>
      </c>
      <c r="H25" t="s">
        <v>37</v>
      </c>
    </row>
    <row r="26" spans="1:8" x14ac:dyDescent="0.3">
      <c r="A26" t="s">
        <v>88</v>
      </c>
      <c r="B26">
        <v>1010</v>
      </c>
      <c r="C26" t="s">
        <v>63</v>
      </c>
      <c r="D26" t="s">
        <v>69</v>
      </c>
      <c r="F26">
        <v>19</v>
      </c>
      <c r="G26">
        <v>125.89</v>
      </c>
      <c r="H26" t="s">
        <v>37</v>
      </c>
    </row>
    <row r="27" spans="1:8" x14ac:dyDescent="0.3">
      <c r="A27" t="s">
        <v>89</v>
      </c>
      <c r="B27">
        <v>1004</v>
      </c>
      <c r="C27" t="s">
        <v>42</v>
      </c>
      <c r="D27" t="s">
        <v>90</v>
      </c>
      <c r="E27" t="s">
        <v>86</v>
      </c>
      <c r="F27">
        <v>46</v>
      </c>
      <c r="G27">
        <v>205.71</v>
      </c>
      <c r="H27" t="s">
        <v>37</v>
      </c>
    </row>
    <row r="28" spans="1:8" x14ac:dyDescent="0.3">
      <c r="A28" t="s">
        <v>91</v>
      </c>
      <c r="B28">
        <v>1006</v>
      </c>
      <c r="C28" t="s">
        <v>63</v>
      </c>
      <c r="D28" t="s">
        <v>39</v>
      </c>
      <c r="E28" t="s">
        <v>40</v>
      </c>
      <c r="F28">
        <v>42</v>
      </c>
      <c r="G28">
        <v>228.59</v>
      </c>
      <c r="H28" t="s">
        <v>37</v>
      </c>
    </row>
    <row r="29" spans="1:8" x14ac:dyDescent="0.3">
      <c r="A29" t="s">
        <v>92</v>
      </c>
      <c r="B29">
        <v>1003</v>
      </c>
      <c r="C29" t="s">
        <v>48</v>
      </c>
      <c r="D29" t="s">
        <v>60</v>
      </c>
      <c r="E29" t="s">
        <v>58</v>
      </c>
      <c r="F29">
        <v>35</v>
      </c>
      <c r="G29">
        <v>303.04000000000002</v>
      </c>
      <c r="H29" t="s">
        <v>37</v>
      </c>
    </row>
    <row r="30" spans="1:8" x14ac:dyDescent="0.3">
      <c r="A30" t="s">
        <v>93</v>
      </c>
      <c r="B30">
        <v>1004</v>
      </c>
      <c r="C30" t="s">
        <v>63</v>
      </c>
      <c r="D30" t="s">
        <v>39</v>
      </c>
      <c r="E30" t="s">
        <v>46</v>
      </c>
      <c r="F30">
        <v>40</v>
      </c>
      <c r="G30">
        <v>300</v>
      </c>
      <c r="H30" t="s">
        <v>55</v>
      </c>
    </row>
    <row r="31" spans="1:8" x14ac:dyDescent="0.3">
      <c r="A31" t="s">
        <v>94</v>
      </c>
      <c r="B31">
        <v>1008</v>
      </c>
      <c r="C31" t="s">
        <v>35</v>
      </c>
      <c r="D31" t="s">
        <v>60</v>
      </c>
      <c r="E31" t="s">
        <v>86</v>
      </c>
      <c r="F31">
        <v>49</v>
      </c>
      <c r="G31">
        <v>165.77</v>
      </c>
      <c r="H31" t="s">
        <v>37</v>
      </c>
    </row>
    <row r="32" spans="1:8" x14ac:dyDescent="0.3">
      <c r="A32" t="s">
        <v>95</v>
      </c>
      <c r="B32">
        <v>1007</v>
      </c>
      <c r="C32" t="s">
        <v>48</v>
      </c>
      <c r="D32" t="s">
        <v>45</v>
      </c>
      <c r="E32" t="s">
        <v>46</v>
      </c>
      <c r="F32">
        <v>23</v>
      </c>
      <c r="G32">
        <v>55.69</v>
      </c>
      <c r="H32" t="s">
        <v>55</v>
      </c>
    </row>
    <row r="33" spans="1:8" x14ac:dyDescent="0.3">
      <c r="A33" t="s">
        <v>96</v>
      </c>
      <c r="B33">
        <v>1006</v>
      </c>
      <c r="C33" t="s">
        <v>35</v>
      </c>
      <c r="D33" t="s">
        <v>69</v>
      </c>
      <c r="E33" t="s">
        <v>46</v>
      </c>
      <c r="F33">
        <v>30</v>
      </c>
      <c r="G33">
        <v>212.88</v>
      </c>
      <c r="H33" t="s">
        <v>37</v>
      </c>
    </row>
    <row r="34" spans="1:8" x14ac:dyDescent="0.3">
      <c r="A34" t="s">
        <v>97</v>
      </c>
      <c r="B34">
        <v>1009</v>
      </c>
      <c r="C34" t="s">
        <v>63</v>
      </c>
      <c r="D34" t="s">
        <v>81</v>
      </c>
      <c r="E34" t="s">
        <v>40</v>
      </c>
      <c r="F34">
        <v>25</v>
      </c>
      <c r="G34">
        <v>334.05</v>
      </c>
      <c r="H34" t="s">
        <v>37</v>
      </c>
    </row>
    <row r="35" spans="1:8" x14ac:dyDescent="0.3">
      <c r="A35" t="s">
        <v>98</v>
      </c>
      <c r="B35">
        <v>1002</v>
      </c>
      <c r="C35" t="s">
        <v>53</v>
      </c>
      <c r="D35" t="s">
        <v>99</v>
      </c>
      <c r="E35" t="s">
        <v>70</v>
      </c>
      <c r="F35">
        <v>29</v>
      </c>
      <c r="G35">
        <v>119.88</v>
      </c>
      <c r="H35" t="s">
        <v>37</v>
      </c>
    </row>
    <row r="36" spans="1:8" x14ac:dyDescent="0.3">
      <c r="A36" t="s">
        <v>100</v>
      </c>
      <c r="B36">
        <v>1006</v>
      </c>
      <c r="C36" t="s">
        <v>42</v>
      </c>
      <c r="D36" t="s">
        <v>99</v>
      </c>
      <c r="E36" t="s">
        <v>58</v>
      </c>
      <c r="F36">
        <v>38</v>
      </c>
      <c r="G36">
        <v>340.85</v>
      </c>
      <c r="H36" t="s">
        <v>37</v>
      </c>
    </row>
    <row r="37" spans="1:8" x14ac:dyDescent="0.3">
      <c r="A37" t="s">
        <v>101</v>
      </c>
      <c r="B37">
        <v>1004</v>
      </c>
      <c r="C37" t="s">
        <v>48</v>
      </c>
      <c r="D37" t="s">
        <v>75</v>
      </c>
      <c r="E37" t="s">
        <v>58</v>
      </c>
      <c r="F37">
        <v>36</v>
      </c>
      <c r="G37">
        <v>41.05</v>
      </c>
      <c r="H37" t="s">
        <v>37</v>
      </c>
    </row>
    <row r="38" spans="1:8" x14ac:dyDescent="0.3">
      <c r="A38" t="s">
        <v>102</v>
      </c>
      <c r="B38">
        <v>1001</v>
      </c>
      <c r="C38" t="s">
        <v>53</v>
      </c>
      <c r="D38" t="s">
        <v>103</v>
      </c>
      <c r="E38" t="s">
        <v>58</v>
      </c>
      <c r="F38">
        <v>37</v>
      </c>
      <c r="G38">
        <v>315.58999999999997</v>
      </c>
      <c r="H38" t="s">
        <v>37</v>
      </c>
    </row>
    <row r="39" spans="1:8" x14ac:dyDescent="0.3">
      <c r="A39" t="s">
        <v>104</v>
      </c>
      <c r="B39">
        <v>1002</v>
      </c>
      <c r="C39" t="s">
        <v>53</v>
      </c>
      <c r="D39" t="s">
        <v>103</v>
      </c>
      <c r="F39">
        <v>39</v>
      </c>
      <c r="G39">
        <v>324.83999999999997</v>
      </c>
      <c r="H39" t="s">
        <v>37</v>
      </c>
    </row>
    <row r="40" spans="1:8" x14ac:dyDescent="0.3">
      <c r="A40" t="s">
        <v>105</v>
      </c>
      <c r="B40">
        <v>1008</v>
      </c>
      <c r="C40" t="s">
        <v>63</v>
      </c>
      <c r="D40" t="s">
        <v>54</v>
      </c>
      <c r="E40" t="s">
        <v>61</v>
      </c>
      <c r="F40">
        <v>40</v>
      </c>
      <c r="G40">
        <v>83.33</v>
      </c>
      <c r="H40" t="s">
        <v>55</v>
      </c>
    </row>
    <row r="41" spans="1:8" x14ac:dyDescent="0.3">
      <c r="A41" t="s">
        <v>106</v>
      </c>
      <c r="B41">
        <v>1005</v>
      </c>
      <c r="C41" t="s">
        <v>35</v>
      </c>
      <c r="D41" t="s">
        <v>60</v>
      </c>
      <c r="E41" t="s">
        <v>86</v>
      </c>
      <c r="F41">
        <v>41</v>
      </c>
      <c r="G41">
        <v>320.10000000000002</v>
      </c>
      <c r="H41" t="s">
        <v>55</v>
      </c>
    </row>
    <row r="42" spans="1:8" x14ac:dyDescent="0.3">
      <c r="A42" t="s">
        <v>107</v>
      </c>
      <c r="B42">
        <v>1005</v>
      </c>
      <c r="C42" t="s">
        <v>48</v>
      </c>
      <c r="D42" t="s">
        <v>60</v>
      </c>
      <c r="E42" t="s">
        <v>86</v>
      </c>
      <c r="F42">
        <v>23</v>
      </c>
      <c r="G42">
        <v>79.739999999999995</v>
      </c>
      <c r="H42" t="s">
        <v>37</v>
      </c>
    </row>
    <row r="43" spans="1:8" x14ac:dyDescent="0.3">
      <c r="A43" t="s">
        <v>108</v>
      </c>
      <c r="B43">
        <v>1005</v>
      </c>
      <c r="C43" t="s">
        <v>48</v>
      </c>
      <c r="D43" t="s">
        <v>109</v>
      </c>
      <c r="F43">
        <v>21</v>
      </c>
      <c r="G43">
        <v>119.73</v>
      </c>
      <c r="H43" t="s">
        <v>37</v>
      </c>
    </row>
    <row r="44" spans="1:8" x14ac:dyDescent="0.3">
      <c r="A44" t="s">
        <v>110</v>
      </c>
      <c r="B44">
        <v>1003</v>
      </c>
      <c r="C44" t="s">
        <v>53</v>
      </c>
      <c r="D44" t="s">
        <v>60</v>
      </c>
      <c r="F44">
        <v>38</v>
      </c>
      <c r="G44">
        <v>288.43</v>
      </c>
      <c r="H44" t="s">
        <v>55</v>
      </c>
    </row>
    <row r="45" spans="1:8" x14ac:dyDescent="0.3">
      <c r="A45" t="s">
        <v>111</v>
      </c>
      <c r="B45">
        <v>1002</v>
      </c>
      <c r="C45" t="s">
        <v>63</v>
      </c>
      <c r="D45" t="s">
        <v>45</v>
      </c>
      <c r="E45" t="s">
        <v>61</v>
      </c>
      <c r="F45">
        <v>26</v>
      </c>
      <c r="G45">
        <v>323.5</v>
      </c>
      <c r="H45" t="s">
        <v>55</v>
      </c>
    </row>
    <row r="46" spans="1:8" x14ac:dyDescent="0.3">
      <c r="A46" t="s">
        <v>112</v>
      </c>
      <c r="B46">
        <v>1007</v>
      </c>
      <c r="C46" t="s">
        <v>48</v>
      </c>
      <c r="D46" t="s">
        <v>69</v>
      </c>
      <c r="E46" t="s">
        <v>61</v>
      </c>
      <c r="F46">
        <v>47</v>
      </c>
      <c r="G46">
        <v>290.48</v>
      </c>
      <c r="H46" t="s">
        <v>55</v>
      </c>
    </row>
    <row r="47" spans="1:8" x14ac:dyDescent="0.3">
      <c r="A47" t="s">
        <v>113</v>
      </c>
      <c r="B47">
        <v>1006</v>
      </c>
      <c r="C47" t="s">
        <v>35</v>
      </c>
      <c r="D47" t="s">
        <v>57</v>
      </c>
      <c r="E47" t="s">
        <v>40</v>
      </c>
      <c r="F47">
        <v>23</v>
      </c>
      <c r="G47">
        <v>75.760000000000005</v>
      </c>
      <c r="H47" t="s">
        <v>55</v>
      </c>
    </row>
    <row r="48" spans="1:8" x14ac:dyDescent="0.3">
      <c r="A48" t="s">
        <v>114</v>
      </c>
      <c r="B48">
        <v>1002</v>
      </c>
      <c r="C48" t="s">
        <v>35</v>
      </c>
      <c r="D48" t="s">
        <v>99</v>
      </c>
      <c r="F48">
        <v>35</v>
      </c>
      <c r="G48">
        <v>235.14</v>
      </c>
      <c r="H48" t="s">
        <v>37</v>
      </c>
    </row>
    <row r="49" spans="1:8" x14ac:dyDescent="0.3">
      <c r="A49" t="s">
        <v>115</v>
      </c>
      <c r="B49">
        <v>1003</v>
      </c>
      <c r="C49" t="s">
        <v>48</v>
      </c>
      <c r="D49" t="s">
        <v>116</v>
      </c>
      <c r="E49" t="s">
        <v>50</v>
      </c>
      <c r="F49">
        <v>52</v>
      </c>
      <c r="G49">
        <v>114.19</v>
      </c>
      <c r="H49" t="s">
        <v>37</v>
      </c>
    </row>
    <row r="50" spans="1:8" x14ac:dyDescent="0.3">
      <c r="A50" t="s">
        <v>117</v>
      </c>
      <c r="B50">
        <v>1006</v>
      </c>
      <c r="C50" t="s">
        <v>42</v>
      </c>
      <c r="D50" t="s">
        <v>118</v>
      </c>
      <c r="E50" t="s">
        <v>46</v>
      </c>
      <c r="F50">
        <v>43</v>
      </c>
      <c r="G50">
        <v>246.93</v>
      </c>
      <c r="H50" t="s">
        <v>55</v>
      </c>
    </row>
    <row r="51" spans="1:8" x14ac:dyDescent="0.3">
      <c r="A51" t="s">
        <v>119</v>
      </c>
      <c r="B51">
        <v>1009</v>
      </c>
      <c r="C51" t="s">
        <v>42</v>
      </c>
      <c r="D51" t="s">
        <v>39</v>
      </c>
      <c r="E51" t="s">
        <v>86</v>
      </c>
      <c r="F51">
        <v>33</v>
      </c>
      <c r="G51">
        <v>109.88</v>
      </c>
      <c r="H51" t="s">
        <v>37</v>
      </c>
    </row>
    <row r="52" spans="1:8" x14ac:dyDescent="0.3">
      <c r="A52" t="s">
        <v>120</v>
      </c>
      <c r="B52">
        <v>1005</v>
      </c>
      <c r="C52" t="s">
        <v>48</v>
      </c>
      <c r="D52" t="s">
        <v>69</v>
      </c>
      <c r="E52" t="s">
        <v>86</v>
      </c>
      <c r="F52">
        <v>53</v>
      </c>
      <c r="G52">
        <v>114.85</v>
      </c>
      <c r="H52" t="s">
        <v>55</v>
      </c>
    </row>
    <row r="53" spans="1:8" x14ac:dyDescent="0.3">
      <c r="A53" t="s">
        <v>121</v>
      </c>
      <c r="B53">
        <v>1006</v>
      </c>
      <c r="C53" t="s">
        <v>53</v>
      </c>
      <c r="D53" t="s">
        <v>99</v>
      </c>
      <c r="E53" t="s">
        <v>86</v>
      </c>
      <c r="F53">
        <v>40</v>
      </c>
      <c r="G53">
        <v>168.87</v>
      </c>
      <c r="H53" t="s">
        <v>37</v>
      </c>
    </row>
    <row r="54" spans="1:8" x14ac:dyDescent="0.3">
      <c r="A54" t="s">
        <v>122</v>
      </c>
      <c r="B54">
        <v>1003</v>
      </c>
      <c r="C54" t="s">
        <v>53</v>
      </c>
      <c r="D54" t="s">
        <v>60</v>
      </c>
      <c r="E54" t="s">
        <v>50</v>
      </c>
      <c r="F54">
        <v>24</v>
      </c>
      <c r="G54">
        <v>79.31</v>
      </c>
      <c r="H54" t="s">
        <v>37</v>
      </c>
    </row>
    <row r="55" spans="1:8" x14ac:dyDescent="0.3">
      <c r="A55" t="s">
        <v>123</v>
      </c>
      <c r="B55">
        <v>1007</v>
      </c>
      <c r="C55" t="s">
        <v>35</v>
      </c>
      <c r="D55" t="s">
        <v>64</v>
      </c>
      <c r="E55" t="s">
        <v>58</v>
      </c>
      <c r="F55">
        <v>50</v>
      </c>
      <c r="G55">
        <v>241.19</v>
      </c>
      <c r="H55" t="s">
        <v>37</v>
      </c>
    </row>
    <row r="56" spans="1:8" x14ac:dyDescent="0.3">
      <c r="A56" t="s">
        <v>124</v>
      </c>
      <c r="B56">
        <v>1001</v>
      </c>
      <c r="C56" t="s">
        <v>53</v>
      </c>
      <c r="D56" t="s">
        <v>77</v>
      </c>
      <c r="F56">
        <v>39</v>
      </c>
      <c r="G56">
        <v>88.92</v>
      </c>
      <c r="H56" t="s">
        <v>37</v>
      </c>
    </row>
    <row r="57" spans="1:8" x14ac:dyDescent="0.3">
      <c r="A57" t="s">
        <v>125</v>
      </c>
      <c r="B57">
        <v>1009</v>
      </c>
      <c r="C57" t="s">
        <v>48</v>
      </c>
      <c r="D57" t="s">
        <v>77</v>
      </c>
      <c r="E57" t="s">
        <v>70</v>
      </c>
      <c r="F57">
        <v>34</v>
      </c>
      <c r="G57">
        <v>154.94999999999999</v>
      </c>
      <c r="H57" t="s">
        <v>55</v>
      </c>
    </row>
    <row r="58" spans="1:8" x14ac:dyDescent="0.3">
      <c r="A58" t="s">
        <v>126</v>
      </c>
      <c r="B58">
        <v>1003</v>
      </c>
      <c r="C58" t="s">
        <v>35</v>
      </c>
      <c r="D58" t="s">
        <v>43</v>
      </c>
      <c r="E58" t="s">
        <v>70</v>
      </c>
      <c r="F58">
        <v>50</v>
      </c>
      <c r="G58">
        <v>247.31</v>
      </c>
      <c r="H58" t="s">
        <v>55</v>
      </c>
    </row>
    <row r="59" spans="1:8" x14ac:dyDescent="0.3">
      <c r="A59" t="s">
        <v>127</v>
      </c>
      <c r="B59">
        <v>1009</v>
      </c>
      <c r="C59" t="s">
        <v>42</v>
      </c>
      <c r="D59" t="s">
        <v>49</v>
      </c>
      <c r="E59" t="s">
        <v>58</v>
      </c>
      <c r="F59">
        <v>32</v>
      </c>
      <c r="G59">
        <v>302.64999999999998</v>
      </c>
      <c r="H59" t="s">
        <v>37</v>
      </c>
    </row>
    <row r="60" spans="1:8" x14ac:dyDescent="0.3">
      <c r="A60" t="s">
        <v>128</v>
      </c>
      <c r="B60">
        <v>1010</v>
      </c>
      <c r="C60" t="s">
        <v>53</v>
      </c>
      <c r="D60" t="s">
        <v>129</v>
      </c>
      <c r="E60" t="s">
        <v>70</v>
      </c>
      <c r="F60">
        <v>18</v>
      </c>
      <c r="G60">
        <v>296.14999999999998</v>
      </c>
      <c r="H60" t="s">
        <v>55</v>
      </c>
    </row>
    <row r="61" spans="1:8" x14ac:dyDescent="0.3">
      <c r="A61" t="s">
        <v>130</v>
      </c>
      <c r="B61">
        <v>1006</v>
      </c>
      <c r="C61" t="s">
        <v>42</v>
      </c>
      <c r="D61" t="s">
        <v>81</v>
      </c>
      <c r="E61" t="s">
        <v>70</v>
      </c>
      <c r="F61">
        <v>32</v>
      </c>
      <c r="G61">
        <v>305.23</v>
      </c>
      <c r="H61" t="s">
        <v>55</v>
      </c>
    </row>
    <row r="62" spans="1:8" x14ac:dyDescent="0.3">
      <c r="A62" t="s">
        <v>131</v>
      </c>
      <c r="B62">
        <v>1005</v>
      </c>
      <c r="C62" t="s">
        <v>53</v>
      </c>
      <c r="D62" t="s">
        <v>99</v>
      </c>
      <c r="E62" t="s">
        <v>58</v>
      </c>
      <c r="F62">
        <v>53</v>
      </c>
      <c r="G62">
        <v>124.76</v>
      </c>
      <c r="H62" t="s">
        <v>37</v>
      </c>
    </row>
    <row r="63" spans="1:8" x14ac:dyDescent="0.3">
      <c r="A63" t="s">
        <v>132</v>
      </c>
      <c r="B63">
        <v>1007</v>
      </c>
      <c r="C63" t="s">
        <v>48</v>
      </c>
      <c r="D63" t="s">
        <v>64</v>
      </c>
      <c r="E63" t="s">
        <v>40</v>
      </c>
      <c r="F63">
        <v>40</v>
      </c>
      <c r="G63">
        <v>206.79</v>
      </c>
      <c r="H63" t="s">
        <v>37</v>
      </c>
    </row>
    <row r="64" spans="1:8" x14ac:dyDescent="0.3">
      <c r="A64" t="s">
        <v>133</v>
      </c>
      <c r="B64">
        <v>1008</v>
      </c>
      <c r="C64" t="s">
        <v>53</v>
      </c>
      <c r="D64" t="s">
        <v>118</v>
      </c>
      <c r="E64" t="s">
        <v>61</v>
      </c>
      <c r="F64">
        <v>45</v>
      </c>
      <c r="G64">
        <v>62.83</v>
      </c>
      <c r="H64" t="s">
        <v>37</v>
      </c>
    </row>
    <row r="65" spans="1:8" x14ac:dyDescent="0.3">
      <c r="A65" t="s">
        <v>134</v>
      </c>
      <c r="B65">
        <v>1008</v>
      </c>
      <c r="C65" t="s">
        <v>42</v>
      </c>
      <c r="D65" t="s">
        <v>45</v>
      </c>
      <c r="E65" t="s">
        <v>50</v>
      </c>
      <c r="F65">
        <v>25</v>
      </c>
      <c r="G65">
        <v>230.01</v>
      </c>
      <c r="H65" t="s">
        <v>37</v>
      </c>
    </row>
    <row r="66" spans="1:8" x14ac:dyDescent="0.3">
      <c r="A66" t="s">
        <v>135</v>
      </c>
      <c r="B66">
        <v>1005</v>
      </c>
      <c r="C66" t="s">
        <v>53</v>
      </c>
      <c r="D66" t="s">
        <v>69</v>
      </c>
      <c r="F66">
        <v>30</v>
      </c>
      <c r="G66">
        <v>137.82</v>
      </c>
      <c r="H66" t="s">
        <v>37</v>
      </c>
    </row>
    <row r="67" spans="1:8" x14ac:dyDescent="0.3">
      <c r="A67" t="s">
        <v>136</v>
      </c>
      <c r="B67">
        <v>1008</v>
      </c>
      <c r="C67" t="s">
        <v>35</v>
      </c>
      <c r="D67" t="s">
        <v>77</v>
      </c>
      <c r="E67" t="s">
        <v>70</v>
      </c>
      <c r="F67">
        <v>19</v>
      </c>
      <c r="G67">
        <v>347.62</v>
      </c>
      <c r="H67" t="s">
        <v>37</v>
      </c>
    </row>
    <row r="68" spans="1:8" x14ac:dyDescent="0.3">
      <c r="A68" t="s">
        <v>137</v>
      </c>
      <c r="B68">
        <v>1005</v>
      </c>
      <c r="C68" t="s">
        <v>42</v>
      </c>
      <c r="D68" t="s">
        <v>81</v>
      </c>
      <c r="F68">
        <v>35</v>
      </c>
      <c r="G68">
        <v>135.21</v>
      </c>
      <c r="H68" t="s">
        <v>37</v>
      </c>
    </row>
    <row r="69" spans="1:8" x14ac:dyDescent="0.3">
      <c r="A69" t="s">
        <v>138</v>
      </c>
      <c r="B69">
        <v>1005</v>
      </c>
      <c r="C69" t="s">
        <v>63</v>
      </c>
      <c r="D69" t="s">
        <v>57</v>
      </c>
      <c r="E69" t="s">
        <v>70</v>
      </c>
      <c r="F69">
        <v>53</v>
      </c>
      <c r="G69">
        <v>185.36</v>
      </c>
      <c r="H69" t="s">
        <v>37</v>
      </c>
    </row>
    <row r="70" spans="1:8" x14ac:dyDescent="0.3">
      <c r="A70" t="s">
        <v>139</v>
      </c>
      <c r="B70">
        <v>1003</v>
      </c>
      <c r="C70" t="s">
        <v>35</v>
      </c>
      <c r="D70" t="s">
        <v>54</v>
      </c>
      <c r="E70" t="s">
        <v>61</v>
      </c>
      <c r="F70">
        <v>27</v>
      </c>
      <c r="G70">
        <v>63.16</v>
      </c>
      <c r="H70" t="s">
        <v>37</v>
      </c>
    </row>
    <row r="71" spans="1:8" x14ac:dyDescent="0.3">
      <c r="A71" t="s">
        <v>140</v>
      </c>
      <c r="B71">
        <v>1006</v>
      </c>
      <c r="C71" t="s">
        <v>53</v>
      </c>
      <c r="D71" t="s">
        <v>116</v>
      </c>
      <c r="F71">
        <v>51</v>
      </c>
      <c r="G71">
        <v>230.02</v>
      </c>
      <c r="H71" t="s">
        <v>55</v>
      </c>
    </row>
    <row r="72" spans="1:8" x14ac:dyDescent="0.3">
      <c r="A72" t="s">
        <v>141</v>
      </c>
      <c r="B72">
        <v>1004</v>
      </c>
      <c r="C72" t="s">
        <v>53</v>
      </c>
      <c r="D72" t="s">
        <v>45</v>
      </c>
      <c r="E72" t="s">
        <v>46</v>
      </c>
      <c r="F72">
        <v>37</v>
      </c>
      <c r="G72">
        <v>53.77</v>
      </c>
      <c r="H72" t="s">
        <v>37</v>
      </c>
    </row>
    <row r="73" spans="1:8" x14ac:dyDescent="0.3">
      <c r="A73" t="s">
        <v>142</v>
      </c>
      <c r="B73">
        <v>1008</v>
      </c>
      <c r="C73" t="s">
        <v>53</v>
      </c>
      <c r="D73" t="s">
        <v>60</v>
      </c>
      <c r="E73" t="s">
        <v>58</v>
      </c>
      <c r="F73">
        <v>32</v>
      </c>
      <c r="G73">
        <v>74.58</v>
      </c>
      <c r="H73" t="s">
        <v>37</v>
      </c>
    </row>
    <row r="74" spans="1:8" x14ac:dyDescent="0.3">
      <c r="A74" t="s">
        <v>143</v>
      </c>
      <c r="B74">
        <v>1006</v>
      </c>
      <c r="C74" t="s">
        <v>42</v>
      </c>
      <c r="D74" t="s">
        <v>77</v>
      </c>
      <c r="E74" t="s">
        <v>46</v>
      </c>
      <c r="F74">
        <v>34</v>
      </c>
      <c r="G74">
        <v>243.86</v>
      </c>
      <c r="H74" t="s">
        <v>37</v>
      </c>
    </row>
    <row r="75" spans="1:8" x14ac:dyDescent="0.3">
      <c r="A75" t="s">
        <v>144</v>
      </c>
      <c r="B75">
        <v>1010</v>
      </c>
      <c r="C75" t="s">
        <v>42</v>
      </c>
      <c r="D75" t="s">
        <v>145</v>
      </c>
      <c r="E75" t="s">
        <v>61</v>
      </c>
      <c r="F75">
        <v>25</v>
      </c>
      <c r="G75">
        <v>277.39999999999998</v>
      </c>
      <c r="H75" t="s">
        <v>37</v>
      </c>
    </row>
    <row r="76" spans="1:8" x14ac:dyDescent="0.3">
      <c r="A76" t="s">
        <v>146</v>
      </c>
      <c r="B76">
        <v>1003</v>
      </c>
      <c r="C76" t="s">
        <v>63</v>
      </c>
      <c r="D76" t="s">
        <v>109</v>
      </c>
      <c r="E76" t="s">
        <v>70</v>
      </c>
      <c r="F76">
        <v>36</v>
      </c>
      <c r="G76">
        <v>340.75</v>
      </c>
      <c r="H76" t="s">
        <v>37</v>
      </c>
    </row>
    <row r="77" spans="1:8" x14ac:dyDescent="0.3">
      <c r="A77" t="s">
        <v>147</v>
      </c>
      <c r="B77">
        <v>1006</v>
      </c>
      <c r="C77" t="s">
        <v>63</v>
      </c>
      <c r="D77" t="s">
        <v>148</v>
      </c>
      <c r="E77" t="s">
        <v>70</v>
      </c>
      <c r="F77">
        <v>37</v>
      </c>
      <c r="G77">
        <v>249.56</v>
      </c>
      <c r="H77" t="s">
        <v>37</v>
      </c>
    </row>
    <row r="78" spans="1:8" x14ac:dyDescent="0.3">
      <c r="A78" t="s">
        <v>149</v>
      </c>
      <c r="B78">
        <v>1004</v>
      </c>
      <c r="C78" t="s">
        <v>35</v>
      </c>
      <c r="D78" t="s">
        <v>109</v>
      </c>
      <c r="E78" t="s">
        <v>46</v>
      </c>
      <c r="F78">
        <v>38</v>
      </c>
      <c r="G78">
        <v>118.5</v>
      </c>
      <c r="H78" t="s">
        <v>37</v>
      </c>
    </row>
    <row r="79" spans="1:8" x14ac:dyDescent="0.3">
      <c r="A79" t="s">
        <v>150</v>
      </c>
      <c r="B79">
        <v>1004</v>
      </c>
      <c r="C79" t="s">
        <v>53</v>
      </c>
      <c r="D79" t="s">
        <v>99</v>
      </c>
      <c r="F79">
        <v>55</v>
      </c>
      <c r="G79">
        <v>130.91999999999999</v>
      </c>
      <c r="H79" t="s">
        <v>37</v>
      </c>
    </row>
    <row r="80" spans="1:8" x14ac:dyDescent="0.3">
      <c r="A80" t="s">
        <v>151</v>
      </c>
      <c r="B80">
        <v>1007</v>
      </c>
      <c r="C80" t="s">
        <v>53</v>
      </c>
      <c r="D80" t="s">
        <v>81</v>
      </c>
      <c r="E80" t="s">
        <v>40</v>
      </c>
      <c r="F80">
        <v>19</v>
      </c>
      <c r="G80">
        <v>252.32</v>
      </c>
      <c r="H80" t="s">
        <v>55</v>
      </c>
    </row>
    <row r="81" spans="1:8" x14ac:dyDescent="0.3">
      <c r="A81" t="s">
        <v>152</v>
      </c>
      <c r="B81">
        <v>1008</v>
      </c>
      <c r="C81" t="s">
        <v>42</v>
      </c>
      <c r="D81" t="s">
        <v>153</v>
      </c>
      <c r="E81" t="s">
        <v>46</v>
      </c>
      <c r="F81">
        <v>50</v>
      </c>
      <c r="G81">
        <v>277.19</v>
      </c>
      <c r="H81" t="s">
        <v>37</v>
      </c>
    </row>
    <row r="82" spans="1:8" x14ac:dyDescent="0.3">
      <c r="A82" t="s">
        <v>154</v>
      </c>
      <c r="B82">
        <v>1006</v>
      </c>
      <c r="C82" t="s">
        <v>63</v>
      </c>
      <c r="D82" t="s">
        <v>69</v>
      </c>
      <c r="E82" t="s">
        <v>58</v>
      </c>
      <c r="F82">
        <v>28</v>
      </c>
      <c r="G82">
        <v>66.56</v>
      </c>
      <c r="H82" t="s">
        <v>55</v>
      </c>
    </row>
    <row r="83" spans="1:8" x14ac:dyDescent="0.3">
      <c r="A83" t="s">
        <v>155</v>
      </c>
      <c r="B83">
        <v>1004</v>
      </c>
      <c r="C83" t="s">
        <v>48</v>
      </c>
      <c r="D83" t="s">
        <v>153</v>
      </c>
      <c r="E83" t="s">
        <v>58</v>
      </c>
      <c r="F83">
        <v>32</v>
      </c>
      <c r="G83">
        <v>341.61</v>
      </c>
      <c r="H83" t="s">
        <v>37</v>
      </c>
    </row>
    <row r="84" spans="1:8" x14ac:dyDescent="0.3">
      <c r="A84" t="s">
        <v>156</v>
      </c>
      <c r="B84">
        <v>1010</v>
      </c>
      <c r="C84" t="s">
        <v>63</v>
      </c>
      <c r="D84" t="s">
        <v>145</v>
      </c>
      <c r="E84" t="s">
        <v>40</v>
      </c>
      <c r="F84">
        <v>50</v>
      </c>
      <c r="G84">
        <v>59.87</v>
      </c>
      <c r="H84" t="s">
        <v>37</v>
      </c>
    </row>
    <row r="85" spans="1:8" x14ac:dyDescent="0.3">
      <c r="A85" t="s">
        <v>157</v>
      </c>
      <c r="B85">
        <v>1001</v>
      </c>
      <c r="C85" t="s">
        <v>63</v>
      </c>
      <c r="D85" t="s">
        <v>158</v>
      </c>
      <c r="E85" t="s">
        <v>61</v>
      </c>
      <c r="F85">
        <v>42</v>
      </c>
      <c r="G85">
        <v>72.25</v>
      </c>
      <c r="H85" t="s">
        <v>55</v>
      </c>
    </row>
    <row r="86" spans="1:8" x14ac:dyDescent="0.3">
      <c r="A86" t="s">
        <v>159</v>
      </c>
      <c r="B86">
        <v>1009</v>
      </c>
      <c r="C86" t="s">
        <v>48</v>
      </c>
      <c r="D86" t="s">
        <v>64</v>
      </c>
      <c r="E86" t="s">
        <v>58</v>
      </c>
      <c r="F86">
        <v>25</v>
      </c>
      <c r="G86">
        <v>333.82</v>
      </c>
      <c r="H86" t="s">
        <v>37</v>
      </c>
    </row>
    <row r="87" spans="1:8" x14ac:dyDescent="0.3">
      <c r="A87" t="s">
        <v>160</v>
      </c>
      <c r="B87">
        <v>1007</v>
      </c>
      <c r="C87" t="s">
        <v>35</v>
      </c>
      <c r="D87" t="s">
        <v>85</v>
      </c>
      <c r="E87" t="s">
        <v>46</v>
      </c>
      <c r="F87">
        <v>24</v>
      </c>
      <c r="G87">
        <v>347.46</v>
      </c>
      <c r="H87" t="s">
        <v>37</v>
      </c>
    </row>
    <row r="88" spans="1:8" x14ac:dyDescent="0.3">
      <c r="A88" t="s">
        <v>161</v>
      </c>
      <c r="B88">
        <v>1010</v>
      </c>
      <c r="C88" t="s">
        <v>42</v>
      </c>
      <c r="D88" t="s">
        <v>49</v>
      </c>
      <c r="E88" t="s">
        <v>50</v>
      </c>
      <c r="F88">
        <v>41</v>
      </c>
      <c r="G88">
        <v>264.08</v>
      </c>
      <c r="H88" t="s">
        <v>37</v>
      </c>
    </row>
    <row r="89" spans="1:8" x14ac:dyDescent="0.3">
      <c r="A89" t="s">
        <v>162</v>
      </c>
      <c r="B89">
        <v>1006</v>
      </c>
      <c r="C89" t="s">
        <v>63</v>
      </c>
      <c r="D89" t="s">
        <v>39</v>
      </c>
      <c r="E89" t="s">
        <v>70</v>
      </c>
      <c r="F89">
        <v>35</v>
      </c>
      <c r="G89">
        <v>269.23</v>
      </c>
      <c r="H89" t="s">
        <v>37</v>
      </c>
    </row>
    <row r="90" spans="1:8" x14ac:dyDescent="0.3">
      <c r="A90" t="s">
        <v>163</v>
      </c>
      <c r="B90">
        <v>1005</v>
      </c>
      <c r="C90" t="s">
        <v>42</v>
      </c>
      <c r="D90" t="s">
        <v>60</v>
      </c>
      <c r="E90" t="s">
        <v>46</v>
      </c>
      <c r="F90">
        <v>24</v>
      </c>
      <c r="G90">
        <v>192.77</v>
      </c>
      <c r="H90" t="s">
        <v>37</v>
      </c>
    </row>
    <row r="91" spans="1:8" x14ac:dyDescent="0.3">
      <c r="A91" t="s">
        <v>164</v>
      </c>
      <c r="B91">
        <v>1003</v>
      </c>
      <c r="C91" t="s">
        <v>35</v>
      </c>
      <c r="D91" t="s">
        <v>43</v>
      </c>
      <c r="E91" t="s">
        <v>61</v>
      </c>
      <c r="F91">
        <v>23</v>
      </c>
      <c r="G91">
        <v>293.08999999999997</v>
      </c>
      <c r="H91" t="s">
        <v>55</v>
      </c>
    </row>
    <row r="92" spans="1:8" x14ac:dyDescent="0.3">
      <c r="A92" t="s">
        <v>165</v>
      </c>
      <c r="B92">
        <v>1008</v>
      </c>
      <c r="C92" t="s">
        <v>42</v>
      </c>
      <c r="D92" t="s">
        <v>153</v>
      </c>
      <c r="F92">
        <v>23</v>
      </c>
      <c r="G92">
        <v>287.76</v>
      </c>
      <c r="H92" t="s">
        <v>55</v>
      </c>
    </row>
    <row r="93" spans="1:8" x14ac:dyDescent="0.3">
      <c r="A93" t="s">
        <v>166</v>
      </c>
      <c r="B93">
        <v>1002</v>
      </c>
      <c r="C93" t="s">
        <v>42</v>
      </c>
      <c r="D93" t="s">
        <v>57</v>
      </c>
      <c r="E93" t="s">
        <v>50</v>
      </c>
      <c r="F93">
        <v>27</v>
      </c>
      <c r="G93">
        <v>288.45999999999998</v>
      </c>
      <c r="H93" t="s">
        <v>55</v>
      </c>
    </row>
    <row r="94" spans="1:8" x14ac:dyDescent="0.3">
      <c r="A94" t="s">
        <v>167</v>
      </c>
      <c r="B94">
        <v>1009</v>
      </c>
      <c r="C94" t="s">
        <v>63</v>
      </c>
      <c r="D94" t="s">
        <v>118</v>
      </c>
      <c r="E94" t="s">
        <v>61</v>
      </c>
      <c r="F94">
        <v>43</v>
      </c>
      <c r="G94">
        <v>169.98</v>
      </c>
      <c r="H94" t="s">
        <v>55</v>
      </c>
    </row>
    <row r="95" spans="1:8" x14ac:dyDescent="0.3">
      <c r="A95" t="s">
        <v>168</v>
      </c>
      <c r="B95">
        <v>1006</v>
      </c>
      <c r="C95" t="s">
        <v>42</v>
      </c>
      <c r="D95" t="s">
        <v>169</v>
      </c>
      <c r="E95" t="s">
        <v>70</v>
      </c>
      <c r="F95">
        <v>48</v>
      </c>
      <c r="G95">
        <v>336.09</v>
      </c>
      <c r="H95" t="s">
        <v>37</v>
      </c>
    </row>
    <row r="96" spans="1:8" x14ac:dyDescent="0.3">
      <c r="A96" t="s">
        <v>170</v>
      </c>
      <c r="B96">
        <v>1006</v>
      </c>
      <c r="C96" t="s">
        <v>53</v>
      </c>
      <c r="D96" t="s">
        <v>171</v>
      </c>
      <c r="E96" t="s">
        <v>58</v>
      </c>
      <c r="F96">
        <v>20</v>
      </c>
      <c r="G96">
        <v>189.98</v>
      </c>
      <c r="H96" t="s">
        <v>37</v>
      </c>
    </row>
    <row r="97" spans="1:8" x14ac:dyDescent="0.3">
      <c r="A97" t="s">
        <v>172</v>
      </c>
      <c r="B97">
        <v>1007</v>
      </c>
      <c r="C97" t="s">
        <v>53</v>
      </c>
      <c r="D97" t="s">
        <v>90</v>
      </c>
      <c r="E97" t="s">
        <v>86</v>
      </c>
      <c r="F97">
        <v>43</v>
      </c>
      <c r="G97">
        <v>147.69999999999999</v>
      </c>
      <c r="H97" t="s">
        <v>37</v>
      </c>
    </row>
    <row r="98" spans="1:8" x14ac:dyDescent="0.3">
      <c r="A98" t="s">
        <v>173</v>
      </c>
      <c r="B98">
        <v>1001</v>
      </c>
      <c r="C98" t="s">
        <v>42</v>
      </c>
      <c r="D98" t="s">
        <v>77</v>
      </c>
      <c r="E98" t="s">
        <v>86</v>
      </c>
      <c r="F98">
        <v>40</v>
      </c>
      <c r="G98">
        <v>106.68</v>
      </c>
      <c r="H98" t="s">
        <v>37</v>
      </c>
    </row>
    <row r="99" spans="1:8" x14ac:dyDescent="0.3">
      <c r="A99" t="s">
        <v>174</v>
      </c>
      <c r="B99">
        <v>1001</v>
      </c>
      <c r="C99" t="s">
        <v>63</v>
      </c>
      <c r="D99" t="s">
        <v>175</v>
      </c>
      <c r="E99" t="s">
        <v>40</v>
      </c>
      <c r="F99">
        <v>23</v>
      </c>
      <c r="G99">
        <v>274.31</v>
      </c>
      <c r="H99" t="s">
        <v>55</v>
      </c>
    </row>
    <row r="100" spans="1:8" x14ac:dyDescent="0.3">
      <c r="A100" t="s">
        <v>176</v>
      </c>
      <c r="B100">
        <v>1010</v>
      </c>
      <c r="C100" t="s">
        <v>48</v>
      </c>
      <c r="D100" t="s">
        <v>145</v>
      </c>
      <c r="E100" t="s">
        <v>46</v>
      </c>
      <c r="F100">
        <v>54</v>
      </c>
      <c r="G100">
        <v>283.02999999999997</v>
      </c>
      <c r="H100" t="s">
        <v>37</v>
      </c>
    </row>
    <row r="101" spans="1:8" x14ac:dyDescent="0.3">
      <c r="A101" t="s">
        <v>177</v>
      </c>
      <c r="B101">
        <v>1009</v>
      </c>
      <c r="C101" t="s">
        <v>53</v>
      </c>
      <c r="D101" t="s">
        <v>99</v>
      </c>
      <c r="E101" t="s">
        <v>70</v>
      </c>
      <c r="F101">
        <v>52</v>
      </c>
      <c r="G101">
        <v>136.31</v>
      </c>
      <c r="H101" t="s">
        <v>55</v>
      </c>
    </row>
    <row r="102" spans="1:8" x14ac:dyDescent="0.3">
      <c r="A102" t="s">
        <v>47</v>
      </c>
      <c r="B102">
        <v>1006</v>
      </c>
      <c r="C102" t="s">
        <v>48</v>
      </c>
      <c r="D102" t="s">
        <v>49</v>
      </c>
      <c r="E102" t="s">
        <v>50</v>
      </c>
      <c r="F102">
        <v>29</v>
      </c>
      <c r="G102">
        <v>336.58</v>
      </c>
      <c r="H102" t="s">
        <v>37</v>
      </c>
    </row>
    <row r="103" spans="1:8" x14ac:dyDescent="0.3">
      <c r="A103" t="s">
        <v>80</v>
      </c>
      <c r="B103">
        <v>1001</v>
      </c>
      <c r="C103" t="s">
        <v>63</v>
      </c>
      <c r="D103" t="s">
        <v>81</v>
      </c>
      <c r="E103" t="s">
        <v>70</v>
      </c>
      <c r="F103">
        <v>55</v>
      </c>
      <c r="G103">
        <v>185.69</v>
      </c>
      <c r="H103" t="s">
        <v>37</v>
      </c>
    </row>
    <row r="104" spans="1:8" x14ac:dyDescent="0.3">
      <c r="A104" t="s">
        <v>125</v>
      </c>
      <c r="B104">
        <v>1009</v>
      </c>
      <c r="C104" t="s">
        <v>48</v>
      </c>
      <c r="D104" t="s">
        <v>77</v>
      </c>
      <c r="E104" t="s">
        <v>70</v>
      </c>
      <c r="F104">
        <v>34</v>
      </c>
      <c r="G104">
        <v>154.94999999999999</v>
      </c>
      <c r="H104" t="s">
        <v>55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1"/>
  <sheetViews>
    <sheetView workbookViewId="0">
      <selection activeCell="H1" sqref="A1:H1"/>
    </sheetView>
  </sheetViews>
  <sheetFormatPr defaultRowHeight="14.4" x14ac:dyDescent="0.3"/>
  <cols>
    <col min="1" max="1" width="10" customWidth="1"/>
    <col min="2" max="2" width="15" customWidth="1"/>
    <col min="3" max="3" width="13" customWidth="1"/>
    <col min="4" max="4" width="21" customWidth="1"/>
    <col min="5" max="5" width="18" customWidth="1"/>
    <col min="6" max="6" width="21" customWidth="1"/>
    <col min="7" max="7" width="17" customWidth="1"/>
    <col min="8" max="8" width="11" customWidth="1"/>
  </cols>
  <sheetData>
    <row r="1" spans="1:8" x14ac:dyDescent="0.3">
      <c r="A1" s="9" t="s">
        <v>26</v>
      </c>
      <c r="B1" s="9" t="s">
        <v>27</v>
      </c>
      <c r="C1" s="9" t="s">
        <v>28</v>
      </c>
      <c r="D1" s="9" t="s">
        <v>29</v>
      </c>
      <c r="E1" s="9" t="s">
        <v>30</v>
      </c>
      <c r="F1" s="9" t="s">
        <v>31</v>
      </c>
      <c r="G1" s="9" t="s">
        <v>32</v>
      </c>
      <c r="H1" s="9" t="s">
        <v>33</v>
      </c>
    </row>
    <row r="2" spans="1:8" x14ac:dyDescent="0.3">
      <c r="A2" t="s">
        <v>34</v>
      </c>
      <c r="B2">
        <v>1003</v>
      </c>
      <c r="C2" t="s">
        <v>35</v>
      </c>
      <c r="D2" s="3">
        <v>46235</v>
      </c>
      <c r="E2" t="s">
        <v>178</v>
      </c>
      <c r="F2">
        <v>29</v>
      </c>
      <c r="G2">
        <v>257.61</v>
      </c>
      <c r="H2" t="s">
        <v>37</v>
      </c>
    </row>
    <row r="3" spans="1:8" x14ac:dyDescent="0.3">
      <c r="A3" t="s">
        <v>38</v>
      </c>
      <c r="B3">
        <v>1002</v>
      </c>
      <c r="C3" t="s">
        <v>35</v>
      </c>
      <c r="D3" s="3">
        <v>46243</v>
      </c>
      <c r="E3" t="s">
        <v>40</v>
      </c>
      <c r="F3">
        <v>38</v>
      </c>
      <c r="G3">
        <v>342.59</v>
      </c>
      <c r="H3" t="s">
        <v>37</v>
      </c>
    </row>
    <row r="4" spans="1:8" x14ac:dyDescent="0.3">
      <c r="A4" t="s">
        <v>41</v>
      </c>
      <c r="B4">
        <v>1009</v>
      </c>
      <c r="C4" t="s">
        <v>42</v>
      </c>
      <c r="D4" s="3">
        <v>46257</v>
      </c>
      <c r="E4" t="s">
        <v>40</v>
      </c>
      <c r="F4">
        <v>54</v>
      </c>
      <c r="G4">
        <v>313.22000000000003</v>
      </c>
      <c r="H4" t="s">
        <v>37</v>
      </c>
    </row>
    <row r="5" spans="1:8" x14ac:dyDescent="0.3">
      <c r="A5" t="s">
        <v>44</v>
      </c>
      <c r="B5">
        <v>1005</v>
      </c>
      <c r="C5" t="s">
        <v>42</v>
      </c>
      <c r="D5" s="3">
        <v>46241</v>
      </c>
      <c r="E5" t="s">
        <v>46</v>
      </c>
      <c r="F5">
        <v>25</v>
      </c>
      <c r="G5">
        <v>220.68</v>
      </c>
      <c r="H5" t="s">
        <v>37</v>
      </c>
    </row>
    <row r="6" spans="1:8" x14ac:dyDescent="0.3">
      <c r="A6" t="s">
        <v>47</v>
      </c>
      <c r="B6">
        <v>1006</v>
      </c>
      <c r="C6" t="s">
        <v>48</v>
      </c>
      <c r="D6" s="3">
        <v>46245</v>
      </c>
      <c r="E6" t="s">
        <v>50</v>
      </c>
      <c r="F6">
        <v>29</v>
      </c>
      <c r="G6">
        <v>336.58</v>
      </c>
      <c r="H6" t="s">
        <v>37</v>
      </c>
    </row>
    <row r="7" spans="1:8" x14ac:dyDescent="0.3">
      <c r="A7" t="s">
        <v>51</v>
      </c>
      <c r="B7">
        <v>1009</v>
      </c>
      <c r="C7" t="s">
        <v>35</v>
      </c>
      <c r="D7" s="3">
        <v>46243</v>
      </c>
      <c r="E7" t="s">
        <v>50</v>
      </c>
      <c r="F7">
        <v>29</v>
      </c>
      <c r="G7">
        <v>173.89</v>
      </c>
      <c r="H7" t="s">
        <v>37</v>
      </c>
    </row>
    <row r="8" spans="1:8" x14ac:dyDescent="0.3">
      <c r="A8" t="s">
        <v>52</v>
      </c>
      <c r="B8">
        <v>1009</v>
      </c>
      <c r="C8" t="s">
        <v>53</v>
      </c>
      <c r="D8" s="3">
        <v>46248</v>
      </c>
      <c r="E8" t="s">
        <v>50</v>
      </c>
      <c r="F8">
        <v>50</v>
      </c>
      <c r="G8">
        <v>128.13</v>
      </c>
      <c r="H8" t="s">
        <v>55</v>
      </c>
    </row>
    <row r="9" spans="1:8" x14ac:dyDescent="0.3">
      <c r="A9" t="s">
        <v>56</v>
      </c>
      <c r="B9">
        <v>1007</v>
      </c>
      <c r="C9" t="s">
        <v>35</v>
      </c>
      <c r="D9" s="3">
        <v>46244</v>
      </c>
      <c r="E9" t="s">
        <v>58</v>
      </c>
      <c r="F9">
        <v>43</v>
      </c>
      <c r="G9">
        <v>220.6</v>
      </c>
      <c r="H9" t="s">
        <v>37</v>
      </c>
    </row>
    <row r="10" spans="1:8" x14ac:dyDescent="0.3">
      <c r="A10" t="s">
        <v>59</v>
      </c>
      <c r="B10">
        <v>1010</v>
      </c>
      <c r="C10" t="s">
        <v>48</v>
      </c>
      <c r="D10" s="3">
        <v>46252</v>
      </c>
      <c r="E10" t="s">
        <v>61</v>
      </c>
      <c r="F10">
        <v>51</v>
      </c>
      <c r="G10">
        <v>172.48</v>
      </c>
      <c r="H10" t="s">
        <v>37</v>
      </c>
    </row>
    <row r="11" spans="1:8" x14ac:dyDescent="0.3">
      <c r="A11" t="s">
        <v>62</v>
      </c>
      <c r="B11">
        <v>1008</v>
      </c>
      <c r="C11" t="s">
        <v>63</v>
      </c>
      <c r="D11" s="3">
        <v>46238</v>
      </c>
      <c r="E11" t="s">
        <v>61</v>
      </c>
      <c r="F11">
        <v>43</v>
      </c>
      <c r="G11">
        <v>58</v>
      </c>
      <c r="H11" t="s">
        <v>37</v>
      </c>
    </row>
    <row r="12" spans="1:8" x14ac:dyDescent="0.3">
      <c r="A12" t="s">
        <v>65</v>
      </c>
      <c r="B12">
        <v>1009</v>
      </c>
      <c r="C12" t="s">
        <v>35</v>
      </c>
      <c r="D12" s="3">
        <v>46247</v>
      </c>
      <c r="E12" t="s">
        <v>40</v>
      </c>
      <c r="F12">
        <v>24</v>
      </c>
      <c r="G12">
        <v>182.28</v>
      </c>
      <c r="H12" t="s">
        <v>37</v>
      </c>
    </row>
    <row r="13" spans="1:8" x14ac:dyDescent="0.3">
      <c r="A13" t="s">
        <v>67</v>
      </c>
      <c r="B13">
        <v>1003</v>
      </c>
      <c r="C13" t="s">
        <v>53</v>
      </c>
      <c r="D13" s="3">
        <v>46252</v>
      </c>
      <c r="E13" t="s">
        <v>61</v>
      </c>
      <c r="F13">
        <v>40</v>
      </c>
      <c r="G13">
        <v>95.45</v>
      </c>
      <c r="H13" t="s">
        <v>37</v>
      </c>
    </row>
    <row r="14" spans="1:8" x14ac:dyDescent="0.3">
      <c r="A14" t="s">
        <v>68</v>
      </c>
      <c r="B14">
        <v>1004</v>
      </c>
      <c r="C14" t="s">
        <v>42</v>
      </c>
      <c r="D14" s="3">
        <v>46236</v>
      </c>
      <c r="E14" t="s">
        <v>70</v>
      </c>
      <c r="F14">
        <v>52</v>
      </c>
      <c r="G14">
        <v>81.72</v>
      </c>
      <c r="H14" t="s">
        <v>37</v>
      </c>
    </row>
    <row r="15" spans="1:8" x14ac:dyDescent="0.3">
      <c r="A15" t="s">
        <v>71</v>
      </c>
      <c r="B15">
        <v>1002</v>
      </c>
      <c r="C15" t="s">
        <v>53</v>
      </c>
      <c r="D15" s="3">
        <v>46241</v>
      </c>
      <c r="E15" t="s">
        <v>61</v>
      </c>
      <c r="F15">
        <v>25</v>
      </c>
      <c r="G15">
        <v>296.70999999999998</v>
      </c>
      <c r="H15" t="s">
        <v>55</v>
      </c>
    </row>
    <row r="16" spans="1:8" x14ac:dyDescent="0.3">
      <c r="A16" t="s">
        <v>72</v>
      </c>
      <c r="B16">
        <v>1001</v>
      </c>
      <c r="C16" t="s">
        <v>53</v>
      </c>
      <c r="D16" s="3">
        <v>46250</v>
      </c>
      <c r="E16" t="s">
        <v>46</v>
      </c>
      <c r="F16">
        <v>55</v>
      </c>
      <c r="G16">
        <v>128.1</v>
      </c>
      <c r="H16" t="s">
        <v>55</v>
      </c>
    </row>
    <row r="17" spans="1:8" x14ac:dyDescent="0.3">
      <c r="A17" t="s">
        <v>74</v>
      </c>
      <c r="B17">
        <v>1008</v>
      </c>
      <c r="C17" t="s">
        <v>53</v>
      </c>
      <c r="D17" s="3">
        <v>46255</v>
      </c>
      <c r="E17" t="s">
        <v>58</v>
      </c>
      <c r="F17">
        <v>25</v>
      </c>
      <c r="G17">
        <v>294.14</v>
      </c>
      <c r="H17" t="s">
        <v>37</v>
      </c>
    </row>
    <row r="18" spans="1:8" x14ac:dyDescent="0.3">
      <c r="A18" t="s">
        <v>76</v>
      </c>
      <c r="B18">
        <v>1002</v>
      </c>
      <c r="C18" t="s">
        <v>53</v>
      </c>
      <c r="D18" s="3">
        <v>46240</v>
      </c>
      <c r="E18" t="s">
        <v>58</v>
      </c>
      <c r="F18">
        <v>22</v>
      </c>
      <c r="G18">
        <v>145.58000000000001</v>
      </c>
      <c r="H18" t="s">
        <v>37</v>
      </c>
    </row>
    <row r="19" spans="1:8" x14ac:dyDescent="0.3">
      <c r="A19" t="s">
        <v>78</v>
      </c>
      <c r="B19">
        <v>1010</v>
      </c>
      <c r="C19" t="s">
        <v>42</v>
      </c>
      <c r="D19" s="3">
        <v>46257</v>
      </c>
      <c r="E19" t="s">
        <v>50</v>
      </c>
      <c r="F19">
        <v>29</v>
      </c>
      <c r="G19">
        <v>52.98</v>
      </c>
      <c r="H19" t="s">
        <v>37</v>
      </c>
    </row>
    <row r="20" spans="1:8" x14ac:dyDescent="0.3">
      <c r="A20" t="s">
        <v>79</v>
      </c>
      <c r="B20">
        <v>1006</v>
      </c>
      <c r="C20" t="s">
        <v>53</v>
      </c>
      <c r="D20" s="3">
        <v>46241</v>
      </c>
      <c r="E20" t="s">
        <v>50</v>
      </c>
      <c r="F20">
        <v>49</v>
      </c>
      <c r="G20">
        <v>308.52</v>
      </c>
      <c r="H20" t="s">
        <v>37</v>
      </c>
    </row>
    <row r="21" spans="1:8" x14ac:dyDescent="0.3">
      <c r="A21" t="s">
        <v>80</v>
      </c>
      <c r="B21">
        <v>1001</v>
      </c>
      <c r="C21" t="s">
        <v>63</v>
      </c>
      <c r="D21" s="3">
        <v>46259</v>
      </c>
      <c r="E21" t="s">
        <v>70</v>
      </c>
      <c r="F21">
        <v>55</v>
      </c>
      <c r="G21">
        <v>185.69</v>
      </c>
      <c r="H21" t="s">
        <v>37</v>
      </c>
    </row>
    <row r="22" spans="1:8" x14ac:dyDescent="0.3">
      <c r="A22" t="s">
        <v>82</v>
      </c>
      <c r="B22">
        <v>1007</v>
      </c>
      <c r="C22" t="s">
        <v>63</v>
      </c>
      <c r="D22" s="3">
        <v>46238</v>
      </c>
      <c r="E22" t="s">
        <v>46</v>
      </c>
      <c r="F22">
        <v>20</v>
      </c>
      <c r="G22">
        <v>113.69</v>
      </c>
      <c r="H22" t="s">
        <v>37</v>
      </c>
    </row>
    <row r="23" spans="1:8" x14ac:dyDescent="0.3">
      <c r="A23" t="s">
        <v>83</v>
      </c>
      <c r="B23">
        <v>1004</v>
      </c>
      <c r="C23" t="s">
        <v>35</v>
      </c>
      <c r="D23" s="3">
        <v>46259</v>
      </c>
      <c r="E23" t="s">
        <v>178</v>
      </c>
      <c r="F23">
        <v>42</v>
      </c>
      <c r="G23">
        <v>55.23</v>
      </c>
      <c r="H23" t="s">
        <v>55</v>
      </c>
    </row>
    <row r="24" spans="1:8" x14ac:dyDescent="0.3">
      <c r="A24" t="s">
        <v>84</v>
      </c>
      <c r="B24">
        <v>1008</v>
      </c>
      <c r="C24" t="s">
        <v>63</v>
      </c>
      <c r="D24" s="3">
        <v>46242</v>
      </c>
      <c r="E24" t="s">
        <v>86</v>
      </c>
      <c r="F24">
        <v>25</v>
      </c>
      <c r="G24">
        <v>122.55</v>
      </c>
      <c r="H24" t="s">
        <v>37</v>
      </c>
    </row>
    <row r="25" spans="1:8" x14ac:dyDescent="0.3">
      <c r="A25" t="s">
        <v>87</v>
      </c>
      <c r="B25">
        <v>1010</v>
      </c>
      <c r="C25" t="s">
        <v>35</v>
      </c>
      <c r="D25" s="3">
        <v>46240</v>
      </c>
      <c r="E25" t="s">
        <v>58</v>
      </c>
      <c r="F25">
        <v>21</v>
      </c>
      <c r="G25">
        <v>49.29</v>
      </c>
      <c r="H25" t="s">
        <v>37</v>
      </c>
    </row>
    <row r="26" spans="1:8" x14ac:dyDescent="0.3">
      <c r="A26" t="s">
        <v>88</v>
      </c>
      <c r="B26">
        <v>1010</v>
      </c>
      <c r="C26" t="s">
        <v>63</v>
      </c>
      <c r="D26" s="3">
        <v>46236</v>
      </c>
      <c r="E26" t="s">
        <v>178</v>
      </c>
      <c r="F26">
        <v>19</v>
      </c>
      <c r="G26">
        <v>125.89</v>
      </c>
      <c r="H26" t="s">
        <v>37</v>
      </c>
    </row>
    <row r="27" spans="1:8" x14ac:dyDescent="0.3">
      <c r="A27" t="s">
        <v>89</v>
      </c>
      <c r="B27">
        <v>1004</v>
      </c>
      <c r="C27" t="s">
        <v>42</v>
      </c>
      <c r="D27" s="3">
        <v>46262</v>
      </c>
      <c r="E27" t="s">
        <v>86</v>
      </c>
      <c r="F27">
        <v>46</v>
      </c>
      <c r="G27">
        <v>205.71</v>
      </c>
      <c r="H27" t="s">
        <v>37</v>
      </c>
    </row>
    <row r="28" spans="1:8" x14ac:dyDescent="0.3">
      <c r="A28" t="s">
        <v>91</v>
      </c>
      <c r="B28">
        <v>1006</v>
      </c>
      <c r="C28" t="s">
        <v>63</v>
      </c>
      <c r="D28" s="3">
        <v>46243</v>
      </c>
      <c r="E28" t="s">
        <v>40</v>
      </c>
      <c r="F28">
        <v>42</v>
      </c>
      <c r="G28">
        <v>228.59</v>
      </c>
      <c r="H28" t="s">
        <v>37</v>
      </c>
    </row>
    <row r="29" spans="1:8" x14ac:dyDescent="0.3">
      <c r="A29" t="s">
        <v>92</v>
      </c>
      <c r="B29">
        <v>1003</v>
      </c>
      <c r="C29" t="s">
        <v>48</v>
      </c>
      <c r="D29" s="3">
        <v>46252</v>
      </c>
      <c r="E29" t="s">
        <v>58</v>
      </c>
      <c r="F29">
        <v>35</v>
      </c>
      <c r="G29">
        <v>303.04000000000002</v>
      </c>
      <c r="H29" t="s">
        <v>37</v>
      </c>
    </row>
    <row r="30" spans="1:8" x14ac:dyDescent="0.3">
      <c r="A30" t="s">
        <v>93</v>
      </c>
      <c r="B30">
        <v>1004</v>
      </c>
      <c r="C30" t="s">
        <v>63</v>
      </c>
      <c r="D30" s="3">
        <v>46243</v>
      </c>
      <c r="E30" t="s">
        <v>46</v>
      </c>
      <c r="F30">
        <v>40</v>
      </c>
      <c r="G30">
        <v>300</v>
      </c>
      <c r="H30" t="s">
        <v>55</v>
      </c>
    </row>
    <row r="31" spans="1:8" x14ac:dyDescent="0.3">
      <c r="A31" t="s">
        <v>94</v>
      </c>
      <c r="B31">
        <v>1008</v>
      </c>
      <c r="C31" t="s">
        <v>35</v>
      </c>
      <c r="D31" s="3">
        <v>46252</v>
      </c>
      <c r="E31" t="s">
        <v>86</v>
      </c>
      <c r="F31">
        <v>49</v>
      </c>
      <c r="G31">
        <v>165.77</v>
      </c>
      <c r="H31" t="s">
        <v>37</v>
      </c>
    </row>
    <row r="32" spans="1:8" x14ac:dyDescent="0.3">
      <c r="A32" t="s">
        <v>95</v>
      </c>
      <c r="B32">
        <v>1007</v>
      </c>
      <c r="C32" t="s">
        <v>48</v>
      </c>
      <c r="D32" s="3">
        <v>46241</v>
      </c>
      <c r="E32" t="s">
        <v>46</v>
      </c>
      <c r="F32">
        <v>23</v>
      </c>
      <c r="G32">
        <v>55.69</v>
      </c>
      <c r="H32" t="s">
        <v>55</v>
      </c>
    </row>
    <row r="33" spans="1:8" x14ac:dyDescent="0.3">
      <c r="A33" t="s">
        <v>96</v>
      </c>
      <c r="B33">
        <v>1006</v>
      </c>
      <c r="C33" t="s">
        <v>35</v>
      </c>
      <c r="D33" s="3">
        <v>46236</v>
      </c>
      <c r="E33" t="s">
        <v>46</v>
      </c>
      <c r="F33">
        <v>30</v>
      </c>
      <c r="G33">
        <v>212.88</v>
      </c>
      <c r="H33" t="s">
        <v>37</v>
      </c>
    </row>
    <row r="34" spans="1:8" x14ac:dyDescent="0.3">
      <c r="A34" t="s">
        <v>97</v>
      </c>
      <c r="B34">
        <v>1009</v>
      </c>
      <c r="C34" t="s">
        <v>63</v>
      </c>
      <c r="D34" s="3">
        <v>46259</v>
      </c>
      <c r="E34" t="s">
        <v>40</v>
      </c>
      <c r="F34">
        <v>25</v>
      </c>
      <c r="G34">
        <v>334.05</v>
      </c>
      <c r="H34" t="s">
        <v>37</v>
      </c>
    </row>
    <row r="35" spans="1:8" x14ac:dyDescent="0.3">
      <c r="A35" t="s">
        <v>98</v>
      </c>
      <c r="B35">
        <v>1002</v>
      </c>
      <c r="C35" t="s">
        <v>53</v>
      </c>
      <c r="D35" s="3">
        <v>46253</v>
      </c>
      <c r="E35" t="s">
        <v>70</v>
      </c>
      <c r="F35">
        <v>29</v>
      </c>
      <c r="G35">
        <v>119.88</v>
      </c>
      <c r="H35" t="s">
        <v>37</v>
      </c>
    </row>
    <row r="36" spans="1:8" x14ac:dyDescent="0.3">
      <c r="A36" t="s">
        <v>100</v>
      </c>
      <c r="B36">
        <v>1006</v>
      </c>
      <c r="C36" t="s">
        <v>42</v>
      </c>
      <c r="D36" s="3">
        <v>46253</v>
      </c>
      <c r="E36" t="s">
        <v>58</v>
      </c>
      <c r="F36">
        <v>38</v>
      </c>
      <c r="G36">
        <v>340.85</v>
      </c>
      <c r="H36" t="s">
        <v>37</v>
      </c>
    </row>
    <row r="37" spans="1:8" x14ac:dyDescent="0.3">
      <c r="A37" t="s">
        <v>101</v>
      </c>
      <c r="B37">
        <v>1004</v>
      </c>
      <c r="C37" t="s">
        <v>48</v>
      </c>
      <c r="D37" s="3">
        <v>46255</v>
      </c>
      <c r="E37" t="s">
        <v>58</v>
      </c>
      <c r="F37">
        <v>36</v>
      </c>
      <c r="G37">
        <v>41.05</v>
      </c>
      <c r="H37" t="s">
        <v>37</v>
      </c>
    </row>
    <row r="38" spans="1:8" x14ac:dyDescent="0.3">
      <c r="A38" t="s">
        <v>102</v>
      </c>
      <c r="B38">
        <v>1001</v>
      </c>
      <c r="C38" t="s">
        <v>53</v>
      </c>
      <c r="D38" s="3">
        <v>46264</v>
      </c>
      <c r="E38" t="s">
        <v>58</v>
      </c>
      <c r="F38">
        <v>37</v>
      </c>
      <c r="G38">
        <v>315.58999999999997</v>
      </c>
      <c r="H38" t="s">
        <v>37</v>
      </c>
    </row>
    <row r="39" spans="1:8" x14ac:dyDescent="0.3">
      <c r="A39" t="s">
        <v>104</v>
      </c>
      <c r="B39">
        <v>1002</v>
      </c>
      <c r="C39" t="s">
        <v>53</v>
      </c>
      <c r="D39" s="3">
        <v>46264</v>
      </c>
      <c r="E39" t="s">
        <v>178</v>
      </c>
      <c r="F39">
        <v>39</v>
      </c>
      <c r="G39">
        <v>324.83999999999997</v>
      </c>
      <c r="H39" t="s">
        <v>37</v>
      </c>
    </row>
    <row r="40" spans="1:8" x14ac:dyDescent="0.3">
      <c r="A40" t="s">
        <v>105</v>
      </c>
      <c r="B40">
        <v>1008</v>
      </c>
      <c r="C40" t="s">
        <v>63</v>
      </c>
      <c r="D40" s="3">
        <v>46248</v>
      </c>
      <c r="E40" t="s">
        <v>61</v>
      </c>
      <c r="F40">
        <v>40</v>
      </c>
      <c r="G40">
        <v>83.33</v>
      </c>
      <c r="H40" t="s">
        <v>55</v>
      </c>
    </row>
    <row r="41" spans="1:8" x14ac:dyDescent="0.3">
      <c r="A41" t="s">
        <v>106</v>
      </c>
      <c r="B41">
        <v>1005</v>
      </c>
      <c r="C41" t="s">
        <v>35</v>
      </c>
      <c r="D41" s="3">
        <v>46252</v>
      </c>
      <c r="E41" t="s">
        <v>86</v>
      </c>
      <c r="F41">
        <v>41</v>
      </c>
      <c r="G41">
        <v>320.10000000000002</v>
      </c>
      <c r="H41" t="s">
        <v>55</v>
      </c>
    </row>
    <row r="42" spans="1:8" x14ac:dyDescent="0.3">
      <c r="A42" t="s">
        <v>107</v>
      </c>
      <c r="B42">
        <v>1005</v>
      </c>
      <c r="C42" t="s">
        <v>48</v>
      </c>
      <c r="D42" s="3">
        <v>46252</v>
      </c>
      <c r="E42" t="s">
        <v>86</v>
      </c>
      <c r="F42">
        <v>23</v>
      </c>
      <c r="G42">
        <v>79.739999999999995</v>
      </c>
      <c r="H42" t="s">
        <v>37</v>
      </c>
    </row>
    <row r="43" spans="1:8" x14ac:dyDescent="0.3">
      <c r="A43" t="s">
        <v>108</v>
      </c>
      <c r="B43">
        <v>1005</v>
      </c>
      <c r="C43" t="s">
        <v>48</v>
      </c>
      <c r="D43" s="3">
        <v>46239</v>
      </c>
      <c r="E43" t="s">
        <v>178</v>
      </c>
      <c r="F43">
        <v>21</v>
      </c>
      <c r="G43">
        <v>119.73</v>
      </c>
      <c r="H43" t="s">
        <v>37</v>
      </c>
    </row>
    <row r="44" spans="1:8" x14ac:dyDescent="0.3">
      <c r="A44" t="s">
        <v>110</v>
      </c>
      <c r="B44">
        <v>1003</v>
      </c>
      <c r="C44" t="s">
        <v>53</v>
      </c>
      <c r="D44" s="3">
        <v>46252</v>
      </c>
      <c r="E44" t="s">
        <v>178</v>
      </c>
      <c r="F44">
        <v>38</v>
      </c>
      <c r="G44">
        <v>288.43</v>
      </c>
      <c r="H44" t="s">
        <v>55</v>
      </c>
    </row>
    <row r="45" spans="1:8" x14ac:dyDescent="0.3">
      <c r="A45" t="s">
        <v>111</v>
      </c>
      <c r="B45">
        <v>1002</v>
      </c>
      <c r="C45" t="s">
        <v>63</v>
      </c>
      <c r="D45" s="3">
        <v>46241</v>
      </c>
      <c r="E45" t="s">
        <v>61</v>
      </c>
      <c r="F45">
        <v>26</v>
      </c>
      <c r="G45">
        <v>323.5</v>
      </c>
      <c r="H45" t="s">
        <v>55</v>
      </c>
    </row>
    <row r="46" spans="1:8" x14ac:dyDescent="0.3">
      <c r="A46" t="s">
        <v>112</v>
      </c>
      <c r="B46">
        <v>1007</v>
      </c>
      <c r="C46" t="s">
        <v>48</v>
      </c>
      <c r="D46" s="3">
        <v>46236</v>
      </c>
      <c r="E46" t="s">
        <v>61</v>
      </c>
      <c r="F46">
        <v>47</v>
      </c>
      <c r="G46">
        <v>290.48</v>
      </c>
      <c r="H46" t="s">
        <v>55</v>
      </c>
    </row>
    <row r="47" spans="1:8" x14ac:dyDescent="0.3">
      <c r="A47" t="s">
        <v>113</v>
      </c>
      <c r="B47">
        <v>1006</v>
      </c>
      <c r="C47" t="s">
        <v>35</v>
      </c>
      <c r="D47" s="3">
        <v>46244</v>
      </c>
      <c r="E47" t="s">
        <v>40</v>
      </c>
      <c r="F47">
        <v>23</v>
      </c>
      <c r="G47">
        <v>75.760000000000005</v>
      </c>
      <c r="H47" t="s">
        <v>55</v>
      </c>
    </row>
    <row r="48" spans="1:8" x14ac:dyDescent="0.3">
      <c r="A48" t="s">
        <v>114</v>
      </c>
      <c r="B48">
        <v>1002</v>
      </c>
      <c r="C48" t="s">
        <v>35</v>
      </c>
      <c r="D48" s="3">
        <v>46253</v>
      </c>
      <c r="E48" t="s">
        <v>178</v>
      </c>
      <c r="F48">
        <v>35</v>
      </c>
      <c r="G48">
        <v>235.14</v>
      </c>
      <c r="H48" t="s">
        <v>37</v>
      </c>
    </row>
    <row r="49" spans="1:8" x14ac:dyDescent="0.3">
      <c r="A49" t="s">
        <v>115</v>
      </c>
      <c r="B49">
        <v>1003</v>
      </c>
      <c r="C49" t="s">
        <v>48</v>
      </c>
      <c r="D49" s="3">
        <v>46260</v>
      </c>
      <c r="E49" t="s">
        <v>50</v>
      </c>
      <c r="F49">
        <v>52</v>
      </c>
      <c r="G49">
        <v>114.19</v>
      </c>
      <c r="H49" t="s">
        <v>37</v>
      </c>
    </row>
    <row r="50" spans="1:8" x14ac:dyDescent="0.3">
      <c r="A50" t="s">
        <v>117</v>
      </c>
      <c r="B50">
        <v>1006</v>
      </c>
      <c r="C50" t="s">
        <v>42</v>
      </c>
      <c r="D50" s="3">
        <v>46249</v>
      </c>
      <c r="E50" t="s">
        <v>46</v>
      </c>
      <c r="F50">
        <v>43</v>
      </c>
      <c r="G50">
        <v>246.93</v>
      </c>
      <c r="H50" t="s">
        <v>55</v>
      </c>
    </row>
    <row r="51" spans="1:8" x14ac:dyDescent="0.3">
      <c r="A51" t="s">
        <v>119</v>
      </c>
      <c r="B51">
        <v>1009</v>
      </c>
      <c r="C51" t="s">
        <v>42</v>
      </c>
      <c r="D51" s="3">
        <v>46243</v>
      </c>
      <c r="E51" t="s">
        <v>86</v>
      </c>
      <c r="F51">
        <v>33</v>
      </c>
      <c r="G51">
        <v>109.88</v>
      </c>
      <c r="H51" t="s">
        <v>37</v>
      </c>
    </row>
    <row r="52" spans="1:8" x14ac:dyDescent="0.3">
      <c r="A52" t="s">
        <v>120</v>
      </c>
      <c r="B52">
        <v>1005</v>
      </c>
      <c r="C52" t="s">
        <v>48</v>
      </c>
      <c r="D52" s="3">
        <v>46236</v>
      </c>
      <c r="E52" t="s">
        <v>86</v>
      </c>
      <c r="F52">
        <v>53</v>
      </c>
      <c r="G52">
        <v>114.85</v>
      </c>
      <c r="H52" t="s">
        <v>55</v>
      </c>
    </row>
    <row r="53" spans="1:8" x14ac:dyDescent="0.3">
      <c r="A53" t="s">
        <v>121</v>
      </c>
      <c r="B53">
        <v>1006</v>
      </c>
      <c r="C53" t="s">
        <v>53</v>
      </c>
      <c r="D53" s="3">
        <v>46253</v>
      </c>
      <c r="E53" t="s">
        <v>86</v>
      </c>
      <c r="F53">
        <v>40</v>
      </c>
      <c r="G53">
        <v>168.87</v>
      </c>
      <c r="H53" t="s">
        <v>37</v>
      </c>
    </row>
    <row r="54" spans="1:8" x14ac:dyDescent="0.3">
      <c r="A54" t="s">
        <v>122</v>
      </c>
      <c r="B54">
        <v>1003</v>
      </c>
      <c r="C54" t="s">
        <v>53</v>
      </c>
      <c r="D54" s="3">
        <v>46252</v>
      </c>
      <c r="E54" t="s">
        <v>50</v>
      </c>
      <c r="F54">
        <v>24</v>
      </c>
      <c r="G54">
        <v>79.31</v>
      </c>
      <c r="H54" t="s">
        <v>37</v>
      </c>
    </row>
    <row r="55" spans="1:8" x14ac:dyDescent="0.3">
      <c r="A55" t="s">
        <v>123</v>
      </c>
      <c r="B55">
        <v>1007</v>
      </c>
      <c r="C55" t="s">
        <v>35</v>
      </c>
      <c r="D55" s="3">
        <v>46238</v>
      </c>
      <c r="E55" t="s">
        <v>58</v>
      </c>
      <c r="F55">
        <v>50</v>
      </c>
      <c r="G55">
        <v>241.19</v>
      </c>
      <c r="H55" t="s">
        <v>37</v>
      </c>
    </row>
    <row r="56" spans="1:8" x14ac:dyDescent="0.3">
      <c r="A56" t="s">
        <v>124</v>
      </c>
      <c r="B56">
        <v>1001</v>
      </c>
      <c r="C56" t="s">
        <v>53</v>
      </c>
      <c r="D56" s="3">
        <v>46240</v>
      </c>
      <c r="E56" t="s">
        <v>178</v>
      </c>
      <c r="F56">
        <v>39</v>
      </c>
      <c r="G56">
        <v>88.92</v>
      </c>
      <c r="H56" t="s">
        <v>37</v>
      </c>
    </row>
    <row r="57" spans="1:8" x14ac:dyDescent="0.3">
      <c r="A57" t="s">
        <v>125</v>
      </c>
      <c r="B57">
        <v>1009</v>
      </c>
      <c r="C57" t="s">
        <v>48</v>
      </c>
      <c r="D57" s="3">
        <v>46240</v>
      </c>
      <c r="E57" t="s">
        <v>70</v>
      </c>
      <c r="F57">
        <v>34</v>
      </c>
      <c r="G57">
        <v>154.94999999999999</v>
      </c>
      <c r="H57" t="s">
        <v>55</v>
      </c>
    </row>
    <row r="58" spans="1:8" x14ac:dyDescent="0.3">
      <c r="A58" t="s">
        <v>126</v>
      </c>
      <c r="B58">
        <v>1003</v>
      </c>
      <c r="C58" t="s">
        <v>35</v>
      </c>
      <c r="D58" s="3">
        <v>46257</v>
      </c>
      <c r="E58" t="s">
        <v>70</v>
      </c>
      <c r="F58">
        <v>50</v>
      </c>
      <c r="G58">
        <v>247.31</v>
      </c>
      <c r="H58" t="s">
        <v>55</v>
      </c>
    </row>
    <row r="59" spans="1:8" x14ac:dyDescent="0.3">
      <c r="A59" t="s">
        <v>127</v>
      </c>
      <c r="B59">
        <v>1009</v>
      </c>
      <c r="C59" t="s">
        <v>42</v>
      </c>
      <c r="D59" s="3">
        <v>46245</v>
      </c>
      <c r="E59" t="s">
        <v>58</v>
      </c>
      <c r="F59">
        <v>32</v>
      </c>
      <c r="G59">
        <v>302.64999999999998</v>
      </c>
      <c r="H59" t="s">
        <v>37</v>
      </c>
    </row>
    <row r="60" spans="1:8" x14ac:dyDescent="0.3">
      <c r="A60" t="s">
        <v>128</v>
      </c>
      <c r="B60">
        <v>1010</v>
      </c>
      <c r="C60" t="s">
        <v>53</v>
      </c>
      <c r="D60" s="3">
        <v>46246</v>
      </c>
      <c r="E60" t="s">
        <v>70</v>
      </c>
      <c r="F60">
        <v>18</v>
      </c>
      <c r="G60">
        <v>296.14999999999998</v>
      </c>
      <c r="H60" t="s">
        <v>55</v>
      </c>
    </row>
    <row r="61" spans="1:8" x14ac:dyDescent="0.3">
      <c r="A61" t="s">
        <v>130</v>
      </c>
      <c r="B61">
        <v>1006</v>
      </c>
      <c r="C61" t="s">
        <v>42</v>
      </c>
      <c r="D61" s="3">
        <v>46259</v>
      </c>
      <c r="E61" t="s">
        <v>70</v>
      </c>
      <c r="F61">
        <v>32</v>
      </c>
      <c r="G61">
        <v>305.23</v>
      </c>
      <c r="H61" t="s">
        <v>55</v>
      </c>
    </row>
    <row r="62" spans="1:8" x14ac:dyDescent="0.3">
      <c r="A62" t="s">
        <v>131</v>
      </c>
      <c r="B62">
        <v>1005</v>
      </c>
      <c r="C62" t="s">
        <v>53</v>
      </c>
      <c r="D62" s="3">
        <v>46253</v>
      </c>
      <c r="E62" t="s">
        <v>58</v>
      </c>
      <c r="F62">
        <v>53</v>
      </c>
      <c r="G62">
        <v>124.76</v>
      </c>
      <c r="H62" t="s">
        <v>37</v>
      </c>
    </row>
    <row r="63" spans="1:8" x14ac:dyDescent="0.3">
      <c r="A63" t="s">
        <v>132</v>
      </c>
      <c r="B63">
        <v>1007</v>
      </c>
      <c r="C63" t="s">
        <v>48</v>
      </c>
      <c r="D63" s="3">
        <v>46238</v>
      </c>
      <c r="E63" t="s">
        <v>40</v>
      </c>
      <c r="F63">
        <v>40</v>
      </c>
      <c r="G63">
        <v>206.79</v>
      </c>
      <c r="H63" t="s">
        <v>37</v>
      </c>
    </row>
    <row r="64" spans="1:8" x14ac:dyDescent="0.3">
      <c r="A64" t="s">
        <v>133</v>
      </c>
      <c r="B64">
        <v>1008</v>
      </c>
      <c r="C64" t="s">
        <v>53</v>
      </c>
      <c r="D64" s="3">
        <v>46249</v>
      </c>
      <c r="E64" t="s">
        <v>61</v>
      </c>
      <c r="F64">
        <v>45</v>
      </c>
      <c r="G64">
        <v>62.83</v>
      </c>
      <c r="H64" t="s">
        <v>37</v>
      </c>
    </row>
    <row r="65" spans="1:8" x14ac:dyDescent="0.3">
      <c r="A65" t="s">
        <v>134</v>
      </c>
      <c r="B65">
        <v>1008</v>
      </c>
      <c r="C65" t="s">
        <v>42</v>
      </c>
      <c r="D65" s="3">
        <v>46241</v>
      </c>
      <c r="E65" t="s">
        <v>50</v>
      </c>
      <c r="F65">
        <v>25</v>
      </c>
      <c r="G65">
        <v>230.01</v>
      </c>
      <c r="H65" t="s">
        <v>37</v>
      </c>
    </row>
    <row r="66" spans="1:8" x14ac:dyDescent="0.3">
      <c r="A66" t="s">
        <v>135</v>
      </c>
      <c r="B66">
        <v>1005</v>
      </c>
      <c r="C66" t="s">
        <v>53</v>
      </c>
      <c r="D66" s="3">
        <v>46236</v>
      </c>
      <c r="E66" t="s">
        <v>178</v>
      </c>
      <c r="F66">
        <v>30</v>
      </c>
      <c r="G66">
        <v>137.82</v>
      </c>
      <c r="H66" t="s">
        <v>37</v>
      </c>
    </row>
    <row r="67" spans="1:8" x14ac:dyDescent="0.3">
      <c r="A67" t="s">
        <v>136</v>
      </c>
      <c r="B67">
        <v>1008</v>
      </c>
      <c r="C67" t="s">
        <v>35</v>
      </c>
      <c r="D67" s="3">
        <v>46240</v>
      </c>
      <c r="E67" t="s">
        <v>70</v>
      </c>
      <c r="F67">
        <v>19</v>
      </c>
      <c r="G67">
        <v>347.62</v>
      </c>
      <c r="H67" t="s">
        <v>37</v>
      </c>
    </row>
    <row r="68" spans="1:8" x14ac:dyDescent="0.3">
      <c r="A68" t="s">
        <v>137</v>
      </c>
      <c r="B68">
        <v>1005</v>
      </c>
      <c r="C68" t="s">
        <v>42</v>
      </c>
      <c r="D68" s="3">
        <v>46259</v>
      </c>
      <c r="E68" t="s">
        <v>178</v>
      </c>
      <c r="F68">
        <v>35</v>
      </c>
      <c r="G68">
        <v>135.21</v>
      </c>
      <c r="H68" t="s">
        <v>37</v>
      </c>
    </row>
    <row r="69" spans="1:8" x14ac:dyDescent="0.3">
      <c r="A69" t="s">
        <v>138</v>
      </c>
      <c r="B69">
        <v>1005</v>
      </c>
      <c r="C69" t="s">
        <v>63</v>
      </c>
      <c r="D69" s="3">
        <v>46244</v>
      </c>
      <c r="E69" t="s">
        <v>70</v>
      </c>
      <c r="F69">
        <v>53</v>
      </c>
      <c r="G69">
        <v>185.36</v>
      </c>
      <c r="H69" t="s">
        <v>37</v>
      </c>
    </row>
    <row r="70" spans="1:8" x14ac:dyDescent="0.3">
      <c r="A70" t="s">
        <v>139</v>
      </c>
      <c r="B70">
        <v>1003</v>
      </c>
      <c r="C70" t="s">
        <v>35</v>
      </c>
      <c r="D70" s="3">
        <v>46248</v>
      </c>
      <c r="E70" t="s">
        <v>61</v>
      </c>
      <c r="F70">
        <v>27</v>
      </c>
      <c r="G70">
        <v>63.16</v>
      </c>
      <c r="H70" t="s">
        <v>37</v>
      </c>
    </row>
    <row r="71" spans="1:8" x14ac:dyDescent="0.3">
      <c r="A71" t="s">
        <v>140</v>
      </c>
      <c r="B71">
        <v>1006</v>
      </c>
      <c r="C71" t="s">
        <v>53</v>
      </c>
      <c r="D71" s="3">
        <v>46260</v>
      </c>
      <c r="E71" t="s">
        <v>178</v>
      </c>
      <c r="F71">
        <v>51</v>
      </c>
      <c r="G71">
        <v>230.02</v>
      </c>
      <c r="H71" t="s">
        <v>55</v>
      </c>
    </row>
    <row r="72" spans="1:8" x14ac:dyDescent="0.3">
      <c r="A72" t="s">
        <v>141</v>
      </c>
      <c r="B72">
        <v>1004</v>
      </c>
      <c r="C72" t="s">
        <v>53</v>
      </c>
      <c r="D72" s="3">
        <v>46241</v>
      </c>
      <c r="E72" t="s">
        <v>46</v>
      </c>
      <c r="F72">
        <v>37</v>
      </c>
      <c r="G72">
        <v>53.77</v>
      </c>
      <c r="H72" t="s">
        <v>37</v>
      </c>
    </row>
    <row r="73" spans="1:8" x14ac:dyDescent="0.3">
      <c r="A73" t="s">
        <v>142</v>
      </c>
      <c r="B73">
        <v>1008</v>
      </c>
      <c r="C73" t="s">
        <v>53</v>
      </c>
      <c r="D73" s="3">
        <v>46252</v>
      </c>
      <c r="E73" t="s">
        <v>58</v>
      </c>
      <c r="F73">
        <v>32</v>
      </c>
      <c r="G73">
        <v>74.58</v>
      </c>
      <c r="H73" t="s">
        <v>37</v>
      </c>
    </row>
    <row r="74" spans="1:8" x14ac:dyDescent="0.3">
      <c r="A74" t="s">
        <v>143</v>
      </c>
      <c r="B74">
        <v>1006</v>
      </c>
      <c r="C74" t="s">
        <v>42</v>
      </c>
      <c r="D74" s="3">
        <v>46240</v>
      </c>
      <c r="E74" t="s">
        <v>46</v>
      </c>
      <c r="F74">
        <v>34</v>
      </c>
      <c r="G74">
        <v>243.86</v>
      </c>
      <c r="H74" t="s">
        <v>37</v>
      </c>
    </row>
    <row r="75" spans="1:8" x14ac:dyDescent="0.3">
      <c r="A75" t="s">
        <v>144</v>
      </c>
      <c r="B75">
        <v>1010</v>
      </c>
      <c r="C75" t="s">
        <v>42</v>
      </c>
      <c r="D75" s="3">
        <v>46256</v>
      </c>
      <c r="E75" t="s">
        <v>61</v>
      </c>
      <c r="F75">
        <v>25</v>
      </c>
      <c r="G75">
        <v>277.39999999999998</v>
      </c>
      <c r="H75" t="s">
        <v>37</v>
      </c>
    </row>
    <row r="76" spans="1:8" x14ac:dyDescent="0.3">
      <c r="A76" t="s">
        <v>146</v>
      </c>
      <c r="B76">
        <v>1003</v>
      </c>
      <c r="C76" t="s">
        <v>63</v>
      </c>
      <c r="D76" s="3">
        <v>46239</v>
      </c>
      <c r="E76" t="s">
        <v>70</v>
      </c>
      <c r="F76">
        <v>36</v>
      </c>
      <c r="G76">
        <v>340.75</v>
      </c>
      <c r="H76" t="s">
        <v>37</v>
      </c>
    </row>
    <row r="77" spans="1:8" x14ac:dyDescent="0.3">
      <c r="A77" t="s">
        <v>147</v>
      </c>
      <c r="B77">
        <v>1006</v>
      </c>
      <c r="C77" t="s">
        <v>63</v>
      </c>
      <c r="D77" s="3">
        <v>46254</v>
      </c>
      <c r="E77" t="s">
        <v>70</v>
      </c>
      <c r="F77">
        <v>37</v>
      </c>
      <c r="G77">
        <v>249.56</v>
      </c>
      <c r="H77" t="s">
        <v>37</v>
      </c>
    </row>
    <row r="78" spans="1:8" x14ac:dyDescent="0.3">
      <c r="A78" t="s">
        <v>149</v>
      </c>
      <c r="B78">
        <v>1004</v>
      </c>
      <c r="C78" t="s">
        <v>35</v>
      </c>
      <c r="D78" s="3">
        <v>46239</v>
      </c>
      <c r="E78" t="s">
        <v>46</v>
      </c>
      <c r="F78">
        <v>38</v>
      </c>
      <c r="G78">
        <v>118.5</v>
      </c>
      <c r="H78" t="s">
        <v>37</v>
      </c>
    </row>
    <row r="79" spans="1:8" x14ac:dyDescent="0.3">
      <c r="A79" t="s">
        <v>150</v>
      </c>
      <c r="B79">
        <v>1004</v>
      </c>
      <c r="C79" t="s">
        <v>53</v>
      </c>
      <c r="D79" s="3">
        <v>46253</v>
      </c>
      <c r="E79" t="s">
        <v>178</v>
      </c>
      <c r="F79">
        <v>55</v>
      </c>
      <c r="G79">
        <v>130.91999999999999</v>
      </c>
      <c r="H79" t="s">
        <v>37</v>
      </c>
    </row>
    <row r="80" spans="1:8" x14ac:dyDescent="0.3">
      <c r="A80" t="s">
        <v>151</v>
      </c>
      <c r="B80">
        <v>1007</v>
      </c>
      <c r="C80" t="s">
        <v>53</v>
      </c>
      <c r="D80" s="3">
        <v>46259</v>
      </c>
      <c r="E80" t="s">
        <v>40</v>
      </c>
      <c r="F80">
        <v>19</v>
      </c>
      <c r="G80">
        <v>252.32</v>
      </c>
      <c r="H80" t="s">
        <v>55</v>
      </c>
    </row>
    <row r="81" spans="1:8" x14ac:dyDescent="0.3">
      <c r="A81" t="s">
        <v>152</v>
      </c>
      <c r="B81">
        <v>1008</v>
      </c>
      <c r="C81" t="s">
        <v>42</v>
      </c>
      <c r="D81" s="3">
        <v>46251</v>
      </c>
      <c r="E81" t="s">
        <v>46</v>
      </c>
      <c r="F81">
        <v>50</v>
      </c>
      <c r="G81">
        <v>277.19</v>
      </c>
      <c r="H81" t="s">
        <v>37</v>
      </c>
    </row>
    <row r="82" spans="1:8" x14ac:dyDescent="0.3">
      <c r="A82" t="s">
        <v>154</v>
      </c>
      <c r="B82">
        <v>1006</v>
      </c>
      <c r="C82" t="s">
        <v>63</v>
      </c>
      <c r="D82" s="3">
        <v>46236</v>
      </c>
      <c r="E82" t="s">
        <v>58</v>
      </c>
      <c r="F82">
        <v>28</v>
      </c>
      <c r="G82">
        <v>66.56</v>
      </c>
      <c r="H82" t="s">
        <v>55</v>
      </c>
    </row>
    <row r="83" spans="1:8" x14ac:dyDescent="0.3">
      <c r="A83" t="s">
        <v>155</v>
      </c>
      <c r="B83">
        <v>1004</v>
      </c>
      <c r="C83" t="s">
        <v>48</v>
      </c>
      <c r="D83" s="3">
        <v>46251</v>
      </c>
      <c r="E83" t="s">
        <v>58</v>
      </c>
      <c r="F83">
        <v>32</v>
      </c>
      <c r="G83">
        <v>341.61</v>
      </c>
      <c r="H83" t="s">
        <v>37</v>
      </c>
    </row>
    <row r="84" spans="1:8" x14ac:dyDescent="0.3">
      <c r="A84" t="s">
        <v>156</v>
      </c>
      <c r="B84">
        <v>1010</v>
      </c>
      <c r="C84" t="s">
        <v>63</v>
      </c>
      <c r="D84" s="3">
        <v>46256</v>
      </c>
      <c r="E84" t="s">
        <v>40</v>
      </c>
      <c r="F84">
        <v>50</v>
      </c>
      <c r="G84">
        <v>59.87</v>
      </c>
      <c r="H84" t="s">
        <v>37</v>
      </c>
    </row>
    <row r="85" spans="1:8" x14ac:dyDescent="0.3">
      <c r="A85" t="s">
        <v>157</v>
      </c>
      <c r="B85">
        <v>1001</v>
      </c>
      <c r="C85" t="s">
        <v>63</v>
      </c>
      <c r="D85" s="3">
        <v>46265</v>
      </c>
      <c r="E85" t="s">
        <v>61</v>
      </c>
      <c r="F85">
        <v>42</v>
      </c>
      <c r="G85">
        <v>72.25</v>
      </c>
      <c r="H85" t="s">
        <v>55</v>
      </c>
    </row>
    <row r="86" spans="1:8" x14ac:dyDescent="0.3">
      <c r="A86" t="s">
        <v>159</v>
      </c>
      <c r="B86">
        <v>1009</v>
      </c>
      <c r="C86" t="s">
        <v>48</v>
      </c>
      <c r="D86" s="3">
        <v>46238</v>
      </c>
      <c r="E86" t="s">
        <v>58</v>
      </c>
      <c r="F86">
        <v>25</v>
      </c>
      <c r="G86">
        <v>333.82</v>
      </c>
      <c r="H86" t="s">
        <v>37</v>
      </c>
    </row>
    <row r="87" spans="1:8" x14ac:dyDescent="0.3">
      <c r="A87" t="s">
        <v>160</v>
      </c>
      <c r="B87">
        <v>1007</v>
      </c>
      <c r="C87" t="s">
        <v>35</v>
      </c>
      <c r="D87" s="3">
        <v>46242</v>
      </c>
      <c r="E87" t="s">
        <v>46</v>
      </c>
      <c r="F87">
        <v>24</v>
      </c>
      <c r="G87">
        <v>347.46</v>
      </c>
      <c r="H87" t="s">
        <v>37</v>
      </c>
    </row>
    <row r="88" spans="1:8" x14ac:dyDescent="0.3">
      <c r="A88" t="s">
        <v>161</v>
      </c>
      <c r="B88">
        <v>1010</v>
      </c>
      <c r="C88" t="s">
        <v>42</v>
      </c>
      <c r="D88" s="3">
        <v>46245</v>
      </c>
      <c r="E88" t="s">
        <v>50</v>
      </c>
      <c r="F88">
        <v>41</v>
      </c>
      <c r="G88">
        <v>264.08</v>
      </c>
      <c r="H88" t="s">
        <v>37</v>
      </c>
    </row>
    <row r="89" spans="1:8" x14ac:dyDescent="0.3">
      <c r="A89" t="s">
        <v>162</v>
      </c>
      <c r="B89">
        <v>1006</v>
      </c>
      <c r="C89" t="s">
        <v>63</v>
      </c>
      <c r="D89" s="3">
        <v>46243</v>
      </c>
      <c r="E89" t="s">
        <v>70</v>
      </c>
      <c r="F89">
        <v>35</v>
      </c>
      <c r="G89">
        <v>269.23</v>
      </c>
      <c r="H89" t="s">
        <v>37</v>
      </c>
    </row>
    <row r="90" spans="1:8" x14ac:dyDescent="0.3">
      <c r="A90" t="s">
        <v>163</v>
      </c>
      <c r="B90">
        <v>1005</v>
      </c>
      <c r="C90" t="s">
        <v>42</v>
      </c>
      <c r="D90" s="3">
        <v>46252</v>
      </c>
      <c r="E90" t="s">
        <v>46</v>
      </c>
      <c r="F90">
        <v>24</v>
      </c>
      <c r="G90">
        <v>192.77</v>
      </c>
      <c r="H90" t="s">
        <v>37</v>
      </c>
    </row>
    <row r="91" spans="1:8" x14ac:dyDescent="0.3">
      <c r="A91" t="s">
        <v>164</v>
      </c>
      <c r="B91">
        <v>1003</v>
      </c>
      <c r="C91" t="s">
        <v>35</v>
      </c>
      <c r="D91" s="3">
        <v>46257</v>
      </c>
      <c r="E91" t="s">
        <v>61</v>
      </c>
      <c r="F91">
        <v>23</v>
      </c>
      <c r="G91">
        <v>293.08999999999997</v>
      </c>
      <c r="H91" t="s">
        <v>55</v>
      </c>
    </row>
    <row r="92" spans="1:8" x14ac:dyDescent="0.3">
      <c r="A92" t="s">
        <v>165</v>
      </c>
      <c r="B92">
        <v>1008</v>
      </c>
      <c r="C92" t="s">
        <v>42</v>
      </c>
      <c r="D92" s="3">
        <v>46251</v>
      </c>
      <c r="E92" t="s">
        <v>178</v>
      </c>
      <c r="F92">
        <v>23</v>
      </c>
      <c r="G92">
        <v>287.76</v>
      </c>
      <c r="H92" t="s">
        <v>55</v>
      </c>
    </row>
    <row r="93" spans="1:8" x14ac:dyDescent="0.3">
      <c r="A93" t="s">
        <v>166</v>
      </c>
      <c r="B93">
        <v>1002</v>
      </c>
      <c r="C93" t="s">
        <v>42</v>
      </c>
      <c r="D93" s="3">
        <v>46244</v>
      </c>
      <c r="E93" t="s">
        <v>50</v>
      </c>
      <c r="F93">
        <v>27</v>
      </c>
      <c r="G93">
        <v>288.45999999999998</v>
      </c>
      <c r="H93" t="s">
        <v>55</v>
      </c>
    </row>
    <row r="94" spans="1:8" x14ac:dyDescent="0.3">
      <c r="A94" t="s">
        <v>167</v>
      </c>
      <c r="B94">
        <v>1009</v>
      </c>
      <c r="C94" t="s">
        <v>63</v>
      </c>
      <c r="D94" s="3">
        <v>46249</v>
      </c>
      <c r="E94" t="s">
        <v>61</v>
      </c>
      <c r="F94">
        <v>43</v>
      </c>
      <c r="G94">
        <v>169.98</v>
      </c>
      <c r="H94" t="s">
        <v>55</v>
      </c>
    </row>
    <row r="95" spans="1:8" x14ac:dyDescent="0.3">
      <c r="A95" t="s">
        <v>168</v>
      </c>
      <c r="B95">
        <v>1006</v>
      </c>
      <c r="C95" t="s">
        <v>42</v>
      </c>
      <c r="D95" s="3">
        <v>46263</v>
      </c>
      <c r="E95" t="s">
        <v>70</v>
      </c>
      <c r="F95">
        <v>48</v>
      </c>
      <c r="G95">
        <v>336.09</v>
      </c>
      <c r="H95" t="s">
        <v>37</v>
      </c>
    </row>
    <row r="96" spans="1:8" x14ac:dyDescent="0.3">
      <c r="A96" t="s">
        <v>170</v>
      </c>
      <c r="B96">
        <v>1006</v>
      </c>
      <c r="C96" t="s">
        <v>53</v>
      </c>
      <c r="D96" s="3">
        <v>46258</v>
      </c>
      <c r="E96" t="s">
        <v>58</v>
      </c>
      <c r="F96">
        <v>20</v>
      </c>
      <c r="G96">
        <v>189.98</v>
      </c>
      <c r="H96" t="s">
        <v>37</v>
      </c>
    </row>
    <row r="97" spans="1:8" x14ac:dyDescent="0.3">
      <c r="A97" t="s">
        <v>172</v>
      </c>
      <c r="B97">
        <v>1007</v>
      </c>
      <c r="C97" t="s">
        <v>53</v>
      </c>
      <c r="D97" s="3">
        <v>46262</v>
      </c>
      <c r="E97" t="s">
        <v>86</v>
      </c>
      <c r="F97">
        <v>43</v>
      </c>
      <c r="G97">
        <v>147.69999999999999</v>
      </c>
      <c r="H97" t="s">
        <v>37</v>
      </c>
    </row>
    <row r="98" spans="1:8" x14ac:dyDescent="0.3">
      <c r="A98" t="s">
        <v>173</v>
      </c>
      <c r="B98">
        <v>1001</v>
      </c>
      <c r="C98" t="s">
        <v>42</v>
      </c>
      <c r="D98" s="3">
        <v>46240</v>
      </c>
      <c r="E98" t="s">
        <v>86</v>
      </c>
      <c r="F98">
        <v>40</v>
      </c>
      <c r="G98">
        <v>106.68</v>
      </c>
      <c r="H98" t="s">
        <v>37</v>
      </c>
    </row>
    <row r="99" spans="1:8" x14ac:dyDescent="0.3">
      <c r="A99" t="s">
        <v>174</v>
      </c>
      <c r="B99">
        <v>1001</v>
      </c>
      <c r="C99" t="s">
        <v>63</v>
      </c>
      <c r="D99" s="3">
        <v>46237</v>
      </c>
      <c r="E99" t="s">
        <v>40</v>
      </c>
      <c r="F99">
        <v>23</v>
      </c>
      <c r="G99">
        <v>274.31</v>
      </c>
      <c r="H99" t="s">
        <v>55</v>
      </c>
    </row>
    <row r="100" spans="1:8" x14ac:dyDescent="0.3">
      <c r="A100" t="s">
        <v>176</v>
      </c>
      <c r="B100">
        <v>1010</v>
      </c>
      <c r="C100" t="s">
        <v>48</v>
      </c>
      <c r="D100" s="3">
        <v>46256</v>
      </c>
      <c r="E100" t="s">
        <v>46</v>
      </c>
      <c r="F100">
        <v>54</v>
      </c>
      <c r="G100">
        <v>283.02999999999997</v>
      </c>
      <c r="H100" t="s">
        <v>37</v>
      </c>
    </row>
    <row r="101" spans="1:8" x14ac:dyDescent="0.3">
      <c r="A101" t="s">
        <v>177</v>
      </c>
      <c r="B101">
        <v>1009</v>
      </c>
      <c r="C101" t="s">
        <v>53</v>
      </c>
      <c r="D101" s="3">
        <v>46253</v>
      </c>
      <c r="E101" t="s">
        <v>70</v>
      </c>
      <c r="F101">
        <v>52</v>
      </c>
      <c r="G101">
        <v>136.31</v>
      </c>
      <c r="H101" t="s">
        <v>55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election activeCell="C1" sqref="A1:C1"/>
    </sheetView>
  </sheetViews>
  <sheetFormatPr defaultRowHeight="14.4" x14ac:dyDescent="0.3"/>
  <cols>
    <col min="1" max="1" width="15" customWidth="1"/>
    <col min="2" max="3" width="17" customWidth="1"/>
  </cols>
  <sheetData>
    <row r="1" spans="1:3" x14ac:dyDescent="0.3">
      <c r="A1" s="9" t="s">
        <v>27</v>
      </c>
      <c r="B1" s="9" t="s">
        <v>179</v>
      </c>
      <c r="C1" s="9" t="s">
        <v>180</v>
      </c>
    </row>
    <row r="2" spans="1:3" x14ac:dyDescent="0.3">
      <c r="A2">
        <v>1001</v>
      </c>
      <c r="B2" t="s">
        <v>181</v>
      </c>
      <c r="C2" t="s">
        <v>53</v>
      </c>
    </row>
    <row r="3" spans="1:3" x14ac:dyDescent="0.3">
      <c r="A3">
        <v>1002</v>
      </c>
      <c r="B3" t="s">
        <v>182</v>
      </c>
      <c r="C3" t="s">
        <v>35</v>
      </c>
    </row>
    <row r="4" spans="1:3" x14ac:dyDescent="0.3">
      <c r="A4">
        <v>1003</v>
      </c>
      <c r="B4" t="s">
        <v>183</v>
      </c>
      <c r="C4" t="s">
        <v>63</v>
      </c>
    </row>
    <row r="5" spans="1:3" x14ac:dyDescent="0.3">
      <c r="A5">
        <v>1004</v>
      </c>
      <c r="B5" t="s">
        <v>184</v>
      </c>
      <c r="C5" t="s">
        <v>53</v>
      </c>
    </row>
    <row r="6" spans="1:3" x14ac:dyDescent="0.3">
      <c r="A6">
        <v>1005</v>
      </c>
      <c r="B6" t="s">
        <v>185</v>
      </c>
      <c r="C6" t="s">
        <v>42</v>
      </c>
    </row>
    <row r="7" spans="1:3" x14ac:dyDescent="0.3">
      <c r="A7">
        <v>1006</v>
      </c>
      <c r="B7" t="s">
        <v>186</v>
      </c>
      <c r="C7" t="s">
        <v>48</v>
      </c>
    </row>
    <row r="8" spans="1:3" x14ac:dyDescent="0.3">
      <c r="A8">
        <v>1007</v>
      </c>
      <c r="B8" t="s">
        <v>187</v>
      </c>
      <c r="C8" t="s">
        <v>53</v>
      </c>
    </row>
    <row r="9" spans="1:3" x14ac:dyDescent="0.3">
      <c r="A9">
        <v>1008</v>
      </c>
      <c r="B9" t="s">
        <v>188</v>
      </c>
      <c r="C9" t="s">
        <v>35</v>
      </c>
    </row>
    <row r="10" spans="1:3" x14ac:dyDescent="0.3">
      <c r="A10">
        <v>1009</v>
      </c>
      <c r="B10" t="s">
        <v>189</v>
      </c>
      <c r="C10" t="s">
        <v>63</v>
      </c>
    </row>
    <row r="11" spans="1:3" x14ac:dyDescent="0.3">
      <c r="A11">
        <v>1010</v>
      </c>
      <c r="B11" t="s">
        <v>190</v>
      </c>
      <c r="C11" t="s">
        <v>48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workbookViewId="0">
      <selection activeCell="I1" sqref="A1:I1"/>
    </sheetView>
  </sheetViews>
  <sheetFormatPr defaultRowHeight="14.4" x14ac:dyDescent="0.3"/>
  <cols>
    <col min="1" max="1" width="10" customWidth="1"/>
    <col min="2" max="2" width="15" customWidth="1"/>
    <col min="3" max="3" width="13" customWidth="1"/>
    <col min="4" max="4" width="21" customWidth="1"/>
    <col min="5" max="5" width="18" customWidth="1"/>
    <col min="6" max="6" width="21" customWidth="1"/>
    <col min="7" max="7" width="17" customWidth="1"/>
    <col min="8" max="8" width="11" customWidth="1"/>
    <col min="9" max="9" width="35" customWidth="1"/>
  </cols>
  <sheetData>
    <row r="1" spans="1:9" x14ac:dyDescent="0.3">
      <c r="A1" s="9" t="s">
        <v>26</v>
      </c>
      <c r="B1" s="9" t="s">
        <v>27</v>
      </c>
      <c r="C1" s="9" t="s">
        <v>28</v>
      </c>
      <c r="D1" s="9" t="s">
        <v>29</v>
      </c>
      <c r="E1" s="9" t="s">
        <v>30</v>
      </c>
      <c r="F1" s="9" t="s">
        <v>31</v>
      </c>
      <c r="G1" s="9" t="s">
        <v>32</v>
      </c>
      <c r="H1" s="9" t="s">
        <v>33</v>
      </c>
      <c r="I1" s="9" t="s">
        <v>179</v>
      </c>
    </row>
    <row r="2" spans="1:9" x14ac:dyDescent="0.3">
      <c r="A2" t="s">
        <v>34</v>
      </c>
      <c r="B2">
        <v>1003</v>
      </c>
      <c r="C2" t="s">
        <v>35</v>
      </c>
      <c r="D2" s="3">
        <v>46235</v>
      </c>
      <c r="E2" t="s">
        <v>178</v>
      </c>
      <c r="F2">
        <v>29</v>
      </c>
      <c r="G2">
        <v>257.61</v>
      </c>
      <c r="H2" t="s">
        <v>37</v>
      </c>
      <c r="I2" t="e">
        <f ca="1">_xludf.XLOOKUP(B2,'02_Restaurant_Details'!$A$2:$A$11,'02_Restaurant_Details'!$B$2:$B$11,"Not Found")</f>
        <v>#NAME?</v>
      </c>
    </row>
    <row r="3" spans="1:9" x14ac:dyDescent="0.3">
      <c r="A3" t="s">
        <v>38</v>
      </c>
      <c r="B3">
        <v>1002</v>
      </c>
      <c r="C3" t="s">
        <v>35</v>
      </c>
      <c r="D3" s="3">
        <v>46243</v>
      </c>
      <c r="E3" t="s">
        <v>40</v>
      </c>
      <c r="F3">
        <v>38</v>
      </c>
      <c r="G3">
        <v>342.59</v>
      </c>
      <c r="H3" t="s">
        <v>37</v>
      </c>
      <c r="I3" t="e">
        <f ca="1">_xludf.XLOOKUP(B3,'02_Restaurant_Details'!$A$2:$A$11,'02_Restaurant_Details'!$B$2:$B$11,"Not Found")</f>
        <v>#NAME?</v>
      </c>
    </row>
    <row r="4" spans="1:9" x14ac:dyDescent="0.3">
      <c r="A4" t="s">
        <v>41</v>
      </c>
      <c r="B4">
        <v>1009</v>
      </c>
      <c r="C4" t="s">
        <v>42</v>
      </c>
      <c r="D4" s="3">
        <v>46257</v>
      </c>
      <c r="E4" t="s">
        <v>40</v>
      </c>
      <c r="F4">
        <v>54</v>
      </c>
      <c r="G4">
        <v>313.22000000000003</v>
      </c>
      <c r="H4" t="s">
        <v>37</v>
      </c>
      <c r="I4" t="e">
        <f ca="1">_xludf.XLOOKUP(B4,'02_Restaurant_Details'!$A$2:$A$11,'02_Restaurant_Details'!$B$2:$B$11,"Not Found")</f>
        <v>#NAME?</v>
      </c>
    </row>
    <row r="5" spans="1:9" x14ac:dyDescent="0.3">
      <c r="A5" t="s">
        <v>44</v>
      </c>
      <c r="B5">
        <v>1005</v>
      </c>
      <c r="C5" t="s">
        <v>42</v>
      </c>
      <c r="D5" s="3">
        <v>46241</v>
      </c>
      <c r="E5" t="s">
        <v>46</v>
      </c>
      <c r="F5">
        <v>25</v>
      </c>
      <c r="G5">
        <v>220.68</v>
      </c>
      <c r="H5" t="s">
        <v>37</v>
      </c>
      <c r="I5" t="e">
        <f ca="1">_xludf.XLOOKUP(B5,'02_Restaurant_Details'!$A$2:$A$11,'02_Restaurant_Details'!$B$2:$B$11,"Not Found")</f>
        <v>#NAME?</v>
      </c>
    </row>
    <row r="6" spans="1:9" x14ac:dyDescent="0.3">
      <c r="A6" t="s">
        <v>47</v>
      </c>
      <c r="B6">
        <v>1006</v>
      </c>
      <c r="C6" t="s">
        <v>48</v>
      </c>
      <c r="D6" s="3">
        <v>46245</v>
      </c>
      <c r="E6" t="s">
        <v>50</v>
      </c>
      <c r="F6">
        <v>29</v>
      </c>
      <c r="G6">
        <v>336.58</v>
      </c>
      <c r="H6" t="s">
        <v>37</v>
      </c>
      <c r="I6" t="e">
        <f ca="1">_xludf.XLOOKUP(B6,'02_Restaurant_Details'!$A$2:$A$11,'02_Restaurant_Details'!$B$2:$B$11,"Not Found")</f>
        <v>#NAME?</v>
      </c>
    </row>
    <row r="7" spans="1:9" x14ac:dyDescent="0.3">
      <c r="A7" t="s">
        <v>51</v>
      </c>
      <c r="B7">
        <v>1009</v>
      </c>
      <c r="C7" t="s">
        <v>35</v>
      </c>
      <c r="D7" s="3">
        <v>46243</v>
      </c>
      <c r="E7" t="s">
        <v>50</v>
      </c>
      <c r="F7">
        <v>29</v>
      </c>
      <c r="G7">
        <v>173.89</v>
      </c>
      <c r="H7" t="s">
        <v>37</v>
      </c>
      <c r="I7" t="e">
        <f ca="1">_xludf.XLOOKUP(B7,'02_Restaurant_Details'!$A$2:$A$11,'02_Restaurant_Details'!$B$2:$B$11,"Not Found")</f>
        <v>#NAME?</v>
      </c>
    </row>
    <row r="8" spans="1:9" x14ac:dyDescent="0.3">
      <c r="A8" t="s">
        <v>52</v>
      </c>
      <c r="B8">
        <v>1009</v>
      </c>
      <c r="C8" t="s">
        <v>53</v>
      </c>
      <c r="D8" s="3">
        <v>46248</v>
      </c>
      <c r="E8" t="s">
        <v>50</v>
      </c>
      <c r="F8">
        <v>50</v>
      </c>
      <c r="G8">
        <v>128.13</v>
      </c>
      <c r="H8" t="s">
        <v>55</v>
      </c>
      <c r="I8" t="e">
        <f ca="1">_xludf.XLOOKUP(B8,'02_Restaurant_Details'!$A$2:$A$11,'02_Restaurant_Details'!$B$2:$B$11,"Not Found")</f>
        <v>#NAME?</v>
      </c>
    </row>
    <row r="9" spans="1:9" x14ac:dyDescent="0.3">
      <c r="A9" t="s">
        <v>56</v>
      </c>
      <c r="B9">
        <v>1007</v>
      </c>
      <c r="C9" t="s">
        <v>35</v>
      </c>
      <c r="D9" s="3">
        <v>46244</v>
      </c>
      <c r="E9" t="s">
        <v>58</v>
      </c>
      <c r="F9">
        <v>43</v>
      </c>
      <c r="G9">
        <v>220.6</v>
      </c>
      <c r="H9" t="s">
        <v>37</v>
      </c>
      <c r="I9" t="e">
        <f ca="1">_xludf.XLOOKUP(B9,'02_Restaurant_Details'!$A$2:$A$11,'02_Restaurant_Details'!$B$2:$B$11,"Not Found")</f>
        <v>#NAME?</v>
      </c>
    </row>
    <row r="10" spans="1:9" x14ac:dyDescent="0.3">
      <c r="A10" t="s">
        <v>59</v>
      </c>
      <c r="B10">
        <v>1010</v>
      </c>
      <c r="C10" t="s">
        <v>48</v>
      </c>
      <c r="D10" s="3">
        <v>46252</v>
      </c>
      <c r="E10" t="s">
        <v>61</v>
      </c>
      <c r="F10">
        <v>51</v>
      </c>
      <c r="G10">
        <v>172.48</v>
      </c>
      <c r="H10" t="s">
        <v>37</v>
      </c>
      <c r="I10" t="e">
        <f ca="1">_xludf.XLOOKUP(B10,'02_Restaurant_Details'!$A$2:$A$11,'02_Restaurant_Details'!$B$2:$B$11,"Not Found")</f>
        <v>#NAME?</v>
      </c>
    </row>
    <row r="11" spans="1:9" x14ac:dyDescent="0.3">
      <c r="A11" t="s">
        <v>62</v>
      </c>
      <c r="B11">
        <v>1008</v>
      </c>
      <c r="C11" t="s">
        <v>63</v>
      </c>
      <c r="D11" s="3">
        <v>46238</v>
      </c>
      <c r="E11" t="s">
        <v>61</v>
      </c>
      <c r="F11">
        <v>43</v>
      </c>
      <c r="G11">
        <v>58</v>
      </c>
      <c r="H11" t="s">
        <v>37</v>
      </c>
      <c r="I11" t="e">
        <f ca="1">_xludf.XLOOKUP(B11,'02_Restaurant_Details'!$A$2:$A$11,'02_Restaurant_Details'!$B$2:$B$11,"Not Found")</f>
        <v>#NAME?</v>
      </c>
    </row>
    <row r="12" spans="1:9" x14ac:dyDescent="0.3">
      <c r="A12" t="s">
        <v>65</v>
      </c>
      <c r="B12">
        <v>1009</v>
      </c>
      <c r="C12" t="s">
        <v>35</v>
      </c>
      <c r="D12" s="3">
        <v>46247</v>
      </c>
      <c r="E12" t="s">
        <v>40</v>
      </c>
      <c r="F12">
        <v>24</v>
      </c>
      <c r="G12">
        <v>182.28</v>
      </c>
      <c r="H12" t="s">
        <v>37</v>
      </c>
      <c r="I12" t="e">
        <f ca="1">_xludf.XLOOKUP(B12,'02_Restaurant_Details'!$A$2:$A$11,'02_Restaurant_Details'!$B$2:$B$11,"Not Found")</f>
        <v>#NAME?</v>
      </c>
    </row>
    <row r="13" spans="1:9" x14ac:dyDescent="0.3">
      <c r="A13" t="s">
        <v>67</v>
      </c>
      <c r="B13">
        <v>1003</v>
      </c>
      <c r="C13" t="s">
        <v>53</v>
      </c>
      <c r="D13" s="3">
        <v>46252</v>
      </c>
      <c r="E13" t="s">
        <v>61</v>
      </c>
      <c r="F13">
        <v>40</v>
      </c>
      <c r="G13">
        <v>95.45</v>
      </c>
      <c r="H13" t="s">
        <v>37</v>
      </c>
      <c r="I13" t="e">
        <f ca="1">_xludf.XLOOKUP(B13,'02_Restaurant_Details'!$A$2:$A$11,'02_Restaurant_Details'!$B$2:$B$11,"Not Found")</f>
        <v>#NAME?</v>
      </c>
    </row>
    <row r="14" spans="1:9" x14ac:dyDescent="0.3">
      <c r="A14" t="s">
        <v>68</v>
      </c>
      <c r="B14">
        <v>1004</v>
      </c>
      <c r="C14" t="s">
        <v>42</v>
      </c>
      <c r="D14" s="3">
        <v>46236</v>
      </c>
      <c r="E14" t="s">
        <v>70</v>
      </c>
      <c r="F14">
        <v>52</v>
      </c>
      <c r="G14">
        <v>81.72</v>
      </c>
      <c r="H14" t="s">
        <v>37</v>
      </c>
      <c r="I14" t="e">
        <f ca="1">_xludf.XLOOKUP(B14,'02_Restaurant_Details'!$A$2:$A$11,'02_Restaurant_Details'!$B$2:$B$11,"Not Found")</f>
        <v>#NAME?</v>
      </c>
    </row>
    <row r="15" spans="1:9" x14ac:dyDescent="0.3">
      <c r="A15" t="s">
        <v>71</v>
      </c>
      <c r="B15">
        <v>1002</v>
      </c>
      <c r="C15" t="s">
        <v>53</v>
      </c>
      <c r="D15" s="3">
        <v>46241</v>
      </c>
      <c r="E15" t="s">
        <v>61</v>
      </c>
      <c r="F15">
        <v>25</v>
      </c>
      <c r="G15">
        <v>296.70999999999998</v>
      </c>
      <c r="H15" t="s">
        <v>55</v>
      </c>
      <c r="I15" t="e">
        <f ca="1">_xludf.XLOOKUP(B15,'02_Restaurant_Details'!$A$2:$A$11,'02_Restaurant_Details'!$B$2:$B$11,"Not Found")</f>
        <v>#NAME?</v>
      </c>
    </row>
    <row r="16" spans="1:9" x14ac:dyDescent="0.3">
      <c r="A16" t="s">
        <v>72</v>
      </c>
      <c r="B16">
        <v>1001</v>
      </c>
      <c r="C16" t="s">
        <v>53</v>
      </c>
      <c r="D16" s="3">
        <v>46250</v>
      </c>
      <c r="E16" t="s">
        <v>46</v>
      </c>
      <c r="F16">
        <v>55</v>
      </c>
      <c r="G16">
        <v>128.1</v>
      </c>
      <c r="H16" t="s">
        <v>55</v>
      </c>
      <c r="I16" t="e">
        <f ca="1">_xludf.XLOOKUP(B16,'02_Restaurant_Details'!$A$2:$A$11,'02_Restaurant_Details'!$B$2:$B$11,"Not Found")</f>
        <v>#NAME?</v>
      </c>
    </row>
    <row r="17" spans="1:9" x14ac:dyDescent="0.3">
      <c r="A17" t="s">
        <v>74</v>
      </c>
      <c r="B17">
        <v>1008</v>
      </c>
      <c r="C17" t="s">
        <v>53</v>
      </c>
      <c r="D17" s="3">
        <v>46255</v>
      </c>
      <c r="E17" t="s">
        <v>58</v>
      </c>
      <c r="F17">
        <v>25</v>
      </c>
      <c r="G17">
        <v>294.14</v>
      </c>
      <c r="H17" t="s">
        <v>37</v>
      </c>
      <c r="I17" t="e">
        <f ca="1">_xludf.XLOOKUP(B17,'02_Restaurant_Details'!$A$2:$A$11,'02_Restaurant_Details'!$B$2:$B$11,"Not Found")</f>
        <v>#NAME?</v>
      </c>
    </row>
    <row r="18" spans="1:9" x14ac:dyDescent="0.3">
      <c r="A18" t="s">
        <v>76</v>
      </c>
      <c r="B18">
        <v>1002</v>
      </c>
      <c r="C18" t="s">
        <v>53</v>
      </c>
      <c r="D18" s="3">
        <v>46240</v>
      </c>
      <c r="E18" t="s">
        <v>58</v>
      </c>
      <c r="F18">
        <v>22</v>
      </c>
      <c r="G18">
        <v>145.58000000000001</v>
      </c>
      <c r="H18" t="s">
        <v>37</v>
      </c>
      <c r="I18" t="e">
        <f ca="1">_xludf.XLOOKUP(B18,'02_Restaurant_Details'!$A$2:$A$11,'02_Restaurant_Details'!$B$2:$B$11,"Not Found")</f>
        <v>#NAME?</v>
      </c>
    </row>
    <row r="19" spans="1:9" x14ac:dyDescent="0.3">
      <c r="A19" t="s">
        <v>78</v>
      </c>
      <c r="B19">
        <v>1010</v>
      </c>
      <c r="C19" t="s">
        <v>42</v>
      </c>
      <c r="D19" s="3">
        <v>46257</v>
      </c>
      <c r="E19" t="s">
        <v>50</v>
      </c>
      <c r="F19">
        <v>29</v>
      </c>
      <c r="G19">
        <v>52.98</v>
      </c>
      <c r="H19" t="s">
        <v>37</v>
      </c>
      <c r="I19" t="e">
        <f ca="1">_xludf.XLOOKUP(B19,'02_Restaurant_Details'!$A$2:$A$11,'02_Restaurant_Details'!$B$2:$B$11,"Not Found")</f>
        <v>#NAME?</v>
      </c>
    </row>
    <row r="20" spans="1:9" x14ac:dyDescent="0.3">
      <c r="A20" t="s">
        <v>79</v>
      </c>
      <c r="B20">
        <v>1006</v>
      </c>
      <c r="C20" t="s">
        <v>53</v>
      </c>
      <c r="D20" s="3">
        <v>46241</v>
      </c>
      <c r="E20" t="s">
        <v>50</v>
      </c>
      <c r="F20">
        <v>49</v>
      </c>
      <c r="G20">
        <v>308.52</v>
      </c>
      <c r="H20" t="s">
        <v>37</v>
      </c>
      <c r="I20" t="e">
        <f ca="1">_xludf.XLOOKUP(B20,'02_Restaurant_Details'!$A$2:$A$11,'02_Restaurant_Details'!$B$2:$B$11,"Not Found")</f>
        <v>#NAME?</v>
      </c>
    </row>
    <row r="21" spans="1:9" x14ac:dyDescent="0.3">
      <c r="A21" t="s">
        <v>80</v>
      </c>
      <c r="B21">
        <v>1001</v>
      </c>
      <c r="C21" t="s">
        <v>63</v>
      </c>
      <c r="D21" s="3">
        <v>46259</v>
      </c>
      <c r="E21" t="s">
        <v>70</v>
      </c>
      <c r="F21">
        <v>55</v>
      </c>
      <c r="G21">
        <v>185.69</v>
      </c>
      <c r="H21" t="s">
        <v>37</v>
      </c>
      <c r="I21" t="e">
        <f ca="1">_xludf.XLOOKUP(B21,'02_Restaurant_Details'!$A$2:$A$11,'02_Restaurant_Details'!$B$2:$B$11,"Not Found")</f>
        <v>#NAME?</v>
      </c>
    </row>
    <row r="22" spans="1:9" x14ac:dyDescent="0.3">
      <c r="A22" t="s">
        <v>82</v>
      </c>
      <c r="B22">
        <v>1007</v>
      </c>
      <c r="C22" t="s">
        <v>63</v>
      </c>
      <c r="D22" s="3">
        <v>46238</v>
      </c>
      <c r="E22" t="s">
        <v>46</v>
      </c>
      <c r="F22">
        <v>20</v>
      </c>
      <c r="G22">
        <v>113.69</v>
      </c>
      <c r="H22" t="s">
        <v>37</v>
      </c>
      <c r="I22" t="e">
        <f ca="1">_xludf.XLOOKUP(B22,'02_Restaurant_Details'!$A$2:$A$11,'02_Restaurant_Details'!$B$2:$B$11,"Not Found")</f>
        <v>#NAME?</v>
      </c>
    </row>
    <row r="23" spans="1:9" x14ac:dyDescent="0.3">
      <c r="A23" t="s">
        <v>83</v>
      </c>
      <c r="B23">
        <v>1004</v>
      </c>
      <c r="C23" t="s">
        <v>35</v>
      </c>
      <c r="D23" s="3">
        <v>46259</v>
      </c>
      <c r="E23" t="s">
        <v>178</v>
      </c>
      <c r="F23">
        <v>42</v>
      </c>
      <c r="G23">
        <v>55.23</v>
      </c>
      <c r="H23" t="s">
        <v>55</v>
      </c>
      <c r="I23" t="e">
        <f ca="1">_xludf.XLOOKUP(B23,'02_Restaurant_Details'!$A$2:$A$11,'02_Restaurant_Details'!$B$2:$B$11,"Not Found")</f>
        <v>#NAME?</v>
      </c>
    </row>
    <row r="24" spans="1:9" x14ac:dyDescent="0.3">
      <c r="A24" t="s">
        <v>84</v>
      </c>
      <c r="B24">
        <v>1008</v>
      </c>
      <c r="C24" t="s">
        <v>63</v>
      </c>
      <c r="D24" s="3">
        <v>46242</v>
      </c>
      <c r="E24" t="s">
        <v>86</v>
      </c>
      <c r="F24">
        <v>25</v>
      </c>
      <c r="G24">
        <v>122.55</v>
      </c>
      <c r="H24" t="s">
        <v>37</v>
      </c>
      <c r="I24" t="e">
        <f ca="1">_xludf.XLOOKUP(B24,'02_Restaurant_Details'!$A$2:$A$11,'02_Restaurant_Details'!$B$2:$B$11,"Not Found")</f>
        <v>#NAME?</v>
      </c>
    </row>
    <row r="25" spans="1:9" x14ac:dyDescent="0.3">
      <c r="A25" t="s">
        <v>87</v>
      </c>
      <c r="B25">
        <v>1010</v>
      </c>
      <c r="C25" t="s">
        <v>35</v>
      </c>
      <c r="D25" s="3">
        <v>46240</v>
      </c>
      <c r="E25" t="s">
        <v>58</v>
      </c>
      <c r="F25">
        <v>21</v>
      </c>
      <c r="G25">
        <v>49.29</v>
      </c>
      <c r="H25" t="s">
        <v>37</v>
      </c>
      <c r="I25" t="e">
        <f ca="1">_xludf.XLOOKUP(B25,'02_Restaurant_Details'!$A$2:$A$11,'02_Restaurant_Details'!$B$2:$B$11,"Not Found")</f>
        <v>#NAME?</v>
      </c>
    </row>
    <row r="26" spans="1:9" x14ac:dyDescent="0.3">
      <c r="A26" t="s">
        <v>88</v>
      </c>
      <c r="B26">
        <v>1010</v>
      </c>
      <c r="C26" t="s">
        <v>63</v>
      </c>
      <c r="D26" s="3">
        <v>46236</v>
      </c>
      <c r="E26" t="s">
        <v>178</v>
      </c>
      <c r="F26">
        <v>19</v>
      </c>
      <c r="G26">
        <v>125.89</v>
      </c>
      <c r="H26" t="s">
        <v>37</v>
      </c>
      <c r="I26" t="e">
        <f ca="1">_xludf.XLOOKUP(B26,'02_Restaurant_Details'!$A$2:$A$11,'02_Restaurant_Details'!$B$2:$B$11,"Not Found")</f>
        <v>#NAME?</v>
      </c>
    </row>
    <row r="27" spans="1:9" x14ac:dyDescent="0.3">
      <c r="A27" t="s">
        <v>89</v>
      </c>
      <c r="B27">
        <v>1004</v>
      </c>
      <c r="C27" t="s">
        <v>42</v>
      </c>
      <c r="D27" s="3">
        <v>46262</v>
      </c>
      <c r="E27" t="s">
        <v>86</v>
      </c>
      <c r="F27">
        <v>46</v>
      </c>
      <c r="G27">
        <v>205.71</v>
      </c>
      <c r="H27" t="s">
        <v>37</v>
      </c>
      <c r="I27" t="e">
        <f ca="1">_xludf.XLOOKUP(B27,'02_Restaurant_Details'!$A$2:$A$11,'02_Restaurant_Details'!$B$2:$B$11,"Not Found")</f>
        <v>#NAME?</v>
      </c>
    </row>
    <row r="28" spans="1:9" x14ac:dyDescent="0.3">
      <c r="A28" t="s">
        <v>91</v>
      </c>
      <c r="B28">
        <v>1006</v>
      </c>
      <c r="C28" t="s">
        <v>63</v>
      </c>
      <c r="D28" s="3">
        <v>46243</v>
      </c>
      <c r="E28" t="s">
        <v>40</v>
      </c>
      <c r="F28">
        <v>42</v>
      </c>
      <c r="G28">
        <v>228.59</v>
      </c>
      <c r="H28" t="s">
        <v>37</v>
      </c>
      <c r="I28" t="e">
        <f ca="1">_xludf.XLOOKUP(B28,'02_Restaurant_Details'!$A$2:$A$11,'02_Restaurant_Details'!$B$2:$B$11,"Not Found")</f>
        <v>#NAME?</v>
      </c>
    </row>
    <row r="29" spans="1:9" x14ac:dyDescent="0.3">
      <c r="A29" t="s">
        <v>92</v>
      </c>
      <c r="B29">
        <v>1003</v>
      </c>
      <c r="C29" t="s">
        <v>48</v>
      </c>
      <c r="D29" s="3">
        <v>46252</v>
      </c>
      <c r="E29" t="s">
        <v>58</v>
      </c>
      <c r="F29">
        <v>35</v>
      </c>
      <c r="G29">
        <v>303.04000000000002</v>
      </c>
      <c r="H29" t="s">
        <v>37</v>
      </c>
      <c r="I29" t="e">
        <f ca="1">_xludf.XLOOKUP(B29,'02_Restaurant_Details'!$A$2:$A$11,'02_Restaurant_Details'!$B$2:$B$11,"Not Found")</f>
        <v>#NAME?</v>
      </c>
    </row>
    <row r="30" spans="1:9" x14ac:dyDescent="0.3">
      <c r="A30" t="s">
        <v>93</v>
      </c>
      <c r="B30">
        <v>1004</v>
      </c>
      <c r="C30" t="s">
        <v>63</v>
      </c>
      <c r="D30" s="3">
        <v>46243</v>
      </c>
      <c r="E30" t="s">
        <v>46</v>
      </c>
      <c r="F30">
        <v>40</v>
      </c>
      <c r="G30">
        <v>300</v>
      </c>
      <c r="H30" t="s">
        <v>55</v>
      </c>
      <c r="I30" t="e">
        <f ca="1">_xludf.XLOOKUP(B30,'02_Restaurant_Details'!$A$2:$A$11,'02_Restaurant_Details'!$B$2:$B$11,"Not Found")</f>
        <v>#NAME?</v>
      </c>
    </row>
    <row r="31" spans="1:9" x14ac:dyDescent="0.3">
      <c r="A31" t="s">
        <v>94</v>
      </c>
      <c r="B31">
        <v>1008</v>
      </c>
      <c r="C31" t="s">
        <v>35</v>
      </c>
      <c r="D31" s="3">
        <v>46252</v>
      </c>
      <c r="E31" t="s">
        <v>86</v>
      </c>
      <c r="F31">
        <v>49</v>
      </c>
      <c r="G31">
        <v>165.77</v>
      </c>
      <c r="H31" t="s">
        <v>37</v>
      </c>
      <c r="I31" t="e">
        <f ca="1">_xludf.XLOOKUP(B31,'02_Restaurant_Details'!$A$2:$A$11,'02_Restaurant_Details'!$B$2:$B$11,"Not Found")</f>
        <v>#NAME?</v>
      </c>
    </row>
    <row r="32" spans="1:9" x14ac:dyDescent="0.3">
      <c r="A32" t="s">
        <v>95</v>
      </c>
      <c r="B32">
        <v>1007</v>
      </c>
      <c r="C32" t="s">
        <v>48</v>
      </c>
      <c r="D32" s="3">
        <v>46241</v>
      </c>
      <c r="E32" t="s">
        <v>46</v>
      </c>
      <c r="F32">
        <v>23</v>
      </c>
      <c r="G32">
        <v>55.69</v>
      </c>
      <c r="H32" t="s">
        <v>55</v>
      </c>
      <c r="I32" t="e">
        <f ca="1">_xludf.XLOOKUP(B32,'02_Restaurant_Details'!$A$2:$A$11,'02_Restaurant_Details'!$B$2:$B$11,"Not Found")</f>
        <v>#NAME?</v>
      </c>
    </row>
    <row r="33" spans="1:9" x14ac:dyDescent="0.3">
      <c r="A33" t="s">
        <v>96</v>
      </c>
      <c r="B33">
        <v>1006</v>
      </c>
      <c r="C33" t="s">
        <v>35</v>
      </c>
      <c r="D33" s="3">
        <v>46236</v>
      </c>
      <c r="E33" t="s">
        <v>46</v>
      </c>
      <c r="F33">
        <v>30</v>
      </c>
      <c r="G33">
        <v>212.88</v>
      </c>
      <c r="H33" t="s">
        <v>37</v>
      </c>
      <c r="I33" t="e">
        <f ca="1">_xludf.XLOOKUP(B33,'02_Restaurant_Details'!$A$2:$A$11,'02_Restaurant_Details'!$B$2:$B$11,"Not Found")</f>
        <v>#NAME?</v>
      </c>
    </row>
    <row r="34" spans="1:9" x14ac:dyDescent="0.3">
      <c r="A34" t="s">
        <v>97</v>
      </c>
      <c r="B34">
        <v>1009</v>
      </c>
      <c r="C34" t="s">
        <v>63</v>
      </c>
      <c r="D34" s="3">
        <v>46259</v>
      </c>
      <c r="E34" t="s">
        <v>40</v>
      </c>
      <c r="F34">
        <v>25</v>
      </c>
      <c r="G34">
        <v>334.05</v>
      </c>
      <c r="H34" t="s">
        <v>37</v>
      </c>
      <c r="I34" t="e">
        <f ca="1">_xludf.XLOOKUP(B34,'02_Restaurant_Details'!$A$2:$A$11,'02_Restaurant_Details'!$B$2:$B$11,"Not Found")</f>
        <v>#NAME?</v>
      </c>
    </row>
    <row r="35" spans="1:9" x14ac:dyDescent="0.3">
      <c r="A35" t="s">
        <v>98</v>
      </c>
      <c r="B35">
        <v>1002</v>
      </c>
      <c r="C35" t="s">
        <v>53</v>
      </c>
      <c r="D35" s="3">
        <v>46253</v>
      </c>
      <c r="E35" t="s">
        <v>70</v>
      </c>
      <c r="F35">
        <v>29</v>
      </c>
      <c r="G35">
        <v>119.88</v>
      </c>
      <c r="H35" t="s">
        <v>37</v>
      </c>
      <c r="I35" t="e">
        <f ca="1">_xludf.XLOOKUP(B35,'02_Restaurant_Details'!$A$2:$A$11,'02_Restaurant_Details'!$B$2:$B$11,"Not Found")</f>
        <v>#NAME?</v>
      </c>
    </row>
    <row r="36" spans="1:9" x14ac:dyDescent="0.3">
      <c r="A36" t="s">
        <v>100</v>
      </c>
      <c r="B36">
        <v>1006</v>
      </c>
      <c r="C36" t="s">
        <v>42</v>
      </c>
      <c r="D36" s="3">
        <v>46253</v>
      </c>
      <c r="E36" t="s">
        <v>58</v>
      </c>
      <c r="F36">
        <v>38</v>
      </c>
      <c r="G36">
        <v>340.85</v>
      </c>
      <c r="H36" t="s">
        <v>37</v>
      </c>
      <c r="I36" t="e">
        <f ca="1">_xludf.XLOOKUP(B36,'02_Restaurant_Details'!$A$2:$A$11,'02_Restaurant_Details'!$B$2:$B$11,"Not Found")</f>
        <v>#NAME?</v>
      </c>
    </row>
    <row r="37" spans="1:9" x14ac:dyDescent="0.3">
      <c r="A37" t="s">
        <v>101</v>
      </c>
      <c r="B37">
        <v>1004</v>
      </c>
      <c r="C37" t="s">
        <v>48</v>
      </c>
      <c r="D37" s="3">
        <v>46255</v>
      </c>
      <c r="E37" t="s">
        <v>58</v>
      </c>
      <c r="F37">
        <v>36</v>
      </c>
      <c r="G37">
        <v>41.05</v>
      </c>
      <c r="H37" t="s">
        <v>37</v>
      </c>
      <c r="I37" t="e">
        <f ca="1">_xludf.XLOOKUP(B37,'02_Restaurant_Details'!$A$2:$A$11,'02_Restaurant_Details'!$B$2:$B$11,"Not Found")</f>
        <v>#NAME?</v>
      </c>
    </row>
    <row r="38" spans="1:9" x14ac:dyDescent="0.3">
      <c r="A38" t="s">
        <v>102</v>
      </c>
      <c r="B38">
        <v>1001</v>
      </c>
      <c r="C38" t="s">
        <v>53</v>
      </c>
      <c r="D38" s="3">
        <v>46264</v>
      </c>
      <c r="E38" t="s">
        <v>58</v>
      </c>
      <c r="F38">
        <v>37</v>
      </c>
      <c r="G38">
        <v>315.58999999999997</v>
      </c>
      <c r="H38" t="s">
        <v>37</v>
      </c>
      <c r="I38" t="e">
        <f ca="1">_xludf.XLOOKUP(B38,'02_Restaurant_Details'!$A$2:$A$11,'02_Restaurant_Details'!$B$2:$B$11,"Not Found")</f>
        <v>#NAME?</v>
      </c>
    </row>
    <row r="39" spans="1:9" x14ac:dyDescent="0.3">
      <c r="A39" t="s">
        <v>104</v>
      </c>
      <c r="B39">
        <v>1002</v>
      </c>
      <c r="C39" t="s">
        <v>53</v>
      </c>
      <c r="D39" s="3">
        <v>46264</v>
      </c>
      <c r="E39" t="s">
        <v>178</v>
      </c>
      <c r="F39">
        <v>39</v>
      </c>
      <c r="G39">
        <v>324.83999999999997</v>
      </c>
      <c r="H39" t="s">
        <v>37</v>
      </c>
      <c r="I39" t="e">
        <f ca="1">_xludf.XLOOKUP(B39,'02_Restaurant_Details'!$A$2:$A$11,'02_Restaurant_Details'!$B$2:$B$11,"Not Found")</f>
        <v>#NAME?</v>
      </c>
    </row>
    <row r="40" spans="1:9" x14ac:dyDescent="0.3">
      <c r="A40" t="s">
        <v>105</v>
      </c>
      <c r="B40">
        <v>1008</v>
      </c>
      <c r="C40" t="s">
        <v>63</v>
      </c>
      <c r="D40" s="3">
        <v>46248</v>
      </c>
      <c r="E40" t="s">
        <v>61</v>
      </c>
      <c r="F40">
        <v>40</v>
      </c>
      <c r="G40">
        <v>83.33</v>
      </c>
      <c r="H40" t="s">
        <v>55</v>
      </c>
      <c r="I40" t="e">
        <f ca="1">_xludf.XLOOKUP(B40,'02_Restaurant_Details'!$A$2:$A$11,'02_Restaurant_Details'!$B$2:$B$11,"Not Found")</f>
        <v>#NAME?</v>
      </c>
    </row>
    <row r="41" spans="1:9" x14ac:dyDescent="0.3">
      <c r="A41" t="s">
        <v>106</v>
      </c>
      <c r="B41">
        <v>1005</v>
      </c>
      <c r="C41" t="s">
        <v>35</v>
      </c>
      <c r="D41" s="3">
        <v>46252</v>
      </c>
      <c r="E41" t="s">
        <v>86</v>
      </c>
      <c r="F41">
        <v>41</v>
      </c>
      <c r="G41">
        <v>320.10000000000002</v>
      </c>
      <c r="H41" t="s">
        <v>55</v>
      </c>
      <c r="I41" t="e">
        <f ca="1">_xludf.XLOOKUP(B41,'02_Restaurant_Details'!$A$2:$A$11,'02_Restaurant_Details'!$B$2:$B$11,"Not Found")</f>
        <v>#NAME?</v>
      </c>
    </row>
    <row r="42" spans="1:9" x14ac:dyDescent="0.3">
      <c r="A42" t="s">
        <v>107</v>
      </c>
      <c r="B42">
        <v>1005</v>
      </c>
      <c r="C42" t="s">
        <v>48</v>
      </c>
      <c r="D42" s="3">
        <v>46252</v>
      </c>
      <c r="E42" t="s">
        <v>86</v>
      </c>
      <c r="F42">
        <v>23</v>
      </c>
      <c r="G42">
        <v>79.739999999999995</v>
      </c>
      <c r="H42" t="s">
        <v>37</v>
      </c>
      <c r="I42" t="e">
        <f ca="1">_xludf.XLOOKUP(B42,'02_Restaurant_Details'!$A$2:$A$11,'02_Restaurant_Details'!$B$2:$B$11,"Not Found")</f>
        <v>#NAME?</v>
      </c>
    </row>
    <row r="43" spans="1:9" x14ac:dyDescent="0.3">
      <c r="A43" t="s">
        <v>108</v>
      </c>
      <c r="B43">
        <v>1005</v>
      </c>
      <c r="C43" t="s">
        <v>48</v>
      </c>
      <c r="D43" s="3">
        <v>46239</v>
      </c>
      <c r="E43" t="s">
        <v>178</v>
      </c>
      <c r="F43">
        <v>21</v>
      </c>
      <c r="G43">
        <v>119.73</v>
      </c>
      <c r="H43" t="s">
        <v>37</v>
      </c>
      <c r="I43" t="e">
        <f ca="1">_xludf.XLOOKUP(B43,'02_Restaurant_Details'!$A$2:$A$11,'02_Restaurant_Details'!$B$2:$B$11,"Not Found")</f>
        <v>#NAME?</v>
      </c>
    </row>
    <row r="44" spans="1:9" x14ac:dyDescent="0.3">
      <c r="A44" t="s">
        <v>110</v>
      </c>
      <c r="B44">
        <v>1003</v>
      </c>
      <c r="C44" t="s">
        <v>53</v>
      </c>
      <c r="D44" s="3">
        <v>46252</v>
      </c>
      <c r="E44" t="s">
        <v>178</v>
      </c>
      <c r="F44">
        <v>38</v>
      </c>
      <c r="G44">
        <v>288.43</v>
      </c>
      <c r="H44" t="s">
        <v>55</v>
      </c>
      <c r="I44" t="e">
        <f ca="1">_xludf.XLOOKUP(B44,'02_Restaurant_Details'!$A$2:$A$11,'02_Restaurant_Details'!$B$2:$B$11,"Not Found")</f>
        <v>#NAME?</v>
      </c>
    </row>
    <row r="45" spans="1:9" x14ac:dyDescent="0.3">
      <c r="A45" t="s">
        <v>111</v>
      </c>
      <c r="B45">
        <v>1002</v>
      </c>
      <c r="C45" t="s">
        <v>63</v>
      </c>
      <c r="D45" s="3">
        <v>46241</v>
      </c>
      <c r="E45" t="s">
        <v>61</v>
      </c>
      <c r="F45">
        <v>26</v>
      </c>
      <c r="G45">
        <v>323.5</v>
      </c>
      <c r="H45" t="s">
        <v>55</v>
      </c>
      <c r="I45" t="e">
        <f ca="1">_xludf.XLOOKUP(B45,'02_Restaurant_Details'!$A$2:$A$11,'02_Restaurant_Details'!$B$2:$B$11,"Not Found")</f>
        <v>#NAME?</v>
      </c>
    </row>
    <row r="46" spans="1:9" x14ac:dyDescent="0.3">
      <c r="A46" t="s">
        <v>112</v>
      </c>
      <c r="B46">
        <v>1007</v>
      </c>
      <c r="C46" t="s">
        <v>48</v>
      </c>
      <c r="D46" s="3">
        <v>46236</v>
      </c>
      <c r="E46" t="s">
        <v>61</v>
      </c>
      <c r="F46">
        <v>47</v>
      </c>
      <c r="G46">
        <v>290.48</v>
      </c>
      <c r="H46" t="s">
        <v>55</v>
      </c>
      <c r="I46" t="e">
        <f ca="1">_xludf.XLOOKUP(B46,'02_Restaurant_Details'!$A$2:$A$11,'02_Restaurant_Details'!$B$2:$B$11,"Not Found")</f>
        <v>#NAME?</v>
      </c>
    </row>
    <row r="47" spans="1:9" x14ac:dyDescent="0.3">
      <c r="A47" t="s">
        <v>113</v>
      </c>
      <c r="B47">
        <v>1006</v>
      </c>
      <c r="C47" t="s">
        <v>35</v>
      </c>
      <c r="D47" s="3">
        <v>46244</v>
      </c>
      <c r="E47" t="s">
        <v>40</v>
      </c>
      <c r="F47">
        <v>23</v>
      </c>
      <c r="G47">
        <v>75.760000000000005</v>
      </c>
      <c r="H47" t="s">
        <v>55</v>
      </c>
      <c r="I47" t="e">
        <f ca="1">_xludf.XLOOKUP(B47,'02_Restaurant_Details'!$A$2:$A$11,'02_Restaurant_Details'!$B$2:$B$11,"Not Found")</f>
        <v>#NAME?</v>
      </c>
    </row>
    <row r="48" spans="1:9" x14ac:dyDescent="0.3">
      <c r="A48" t="s">
        <v>114</v>
      </c>
      <c r="B48">
        <v>1002</v>
      </c>
      <c r="C48" t="s">
        <v>35</v>
      </c>
      <c r="D48" s="3">
        <v>46253</v>
      </c>
      <c r="E48" t="s">
        <v>178</v>
      </c>
      <c r="F48">
        <v>35</v>
      </c>
      <c r="G48">
        <v>235.14</v>
      </c>
      <c r="H48" t="s">
        <v>37</v>
      </c>
      <c r="I48" t="e">
        <f ca="1">_xludf.XLOOKUP(B48,'02_Restaurant_Details'!$A$2:$A$11,'02_Restaurant_Details'!$B$2:$B$11,"Not Found")</f>
        <v>#NAME?</v>
      </c>
    </row>
    <row r="49" spans="1:9" x14ac:dyDescent="0.3">
      <c r="A49" t="s">
        <v>115</v>
      </c>
      <c r="B49">
        <v>1003</v>
      </c>
      <c r="C49" t="s">
        <v>48</v>
      </c>
      <c r="D49" s="3">
        <v>46260</v>
      </c>
      <c r="E49" t="s">
        <v>50</v>
      </c>
      <c r="F49">
        <v>52</v>
      </c>
      <c r="G49">
        <v>114.19</v>
      </c>
      <c r="H49" t="s">
        <v>37</v>
      </c>
      <c r="I49" t="e">
        <f ca="1">_xludf.XLOOKUP(B49,'02_Restaurant_Details'!$A$2:$A$11,'02_Restaurant_Details'!$B$2:$B$11,"Not Found")</f>
        <v>#NAME?</v>
      </c>
    </row>
    <row r="50" spans="1:9" x14ac:dyDescent="0.3">
      <c r="A50" t="s">
        <v>117</v>
      </c>
      <c r="B50">
        <v>1006</v>
      </c>
      <c r="C50" t="s">
        <v>42</v>
      </c>
      <c r="D50" s="3">
        <v>46249</v>
      </c>
      <c r="E50" t="s">
        <v>46</v>
      </c>
      <c r="F50">
        <v>43</v>
      </c>
      <c r="G50">
        <v>246.93</v>
      </c>
      <c r="H50" t="s">
        <v>55</v>
      </c>
      <c r="I50" t="e">
        <f ca="1">_xludf.XLOOKUP(B50,'02_Restaurant_Details'!$A$2:$A$11,'02_Restaurant_Details'!$B$2:$B$11,"Not Found")</f>
        <v>#NAME?</v>
      </c>
    </row>
    <row r="51" spans="1:9" x14ac:dyDescent="0.3">
      <c r="A51" t="s">
        <v>119</v>
      </c>
      <c r="B51">
        <v>1009</v>
      </c>
      <c r="C51" t="s">
        <v>42</v>
      </c>
      <c r="D51" s="3">
        <v>46243</v>
      </c>
      <c r="E51" t="s">
        <v>86</v>
      </c>
      <c r="F51">
        <v>33</v>
      </c>
      <c r="G51">
        <v>109.88</v>
      </c>
      <c r="H51" t="s">
        <v>37</v>
      </c>
      <c r="I51" t="e">
        <f ca="1">_xludf.XLOOKUP(B51,'02_Restaurant_Details'!$A$2:$A$11,'02_Restaurant_Details'!$B$2:$B$11,"Not Found")</f>
        <v>#NAME?</v>
      </c>
    </row>
    <row r="52" spans="1:9" x14ac:dyDescent="0.3">
      <c r="A52" t="s">
        <v>120</v>
      </c>
      <c r="B52">
        <v>1005</v>
      </c>
      <c r="C52" t="s">
        <v>48</v>
      </c>
      <c r="D52" s="3">
        <v>46236</v>
      </c>
      <c r="E52" t="s">
        <v>86</v>
      </c>
      <c r="F52">
        <v>53</v>
      </c>
      <c r="G52">
        <v>114.85</v>
      </c>
      <c r="H52" t="s">
        <v>55</v>
      </c>
      <c r="I52" t="e">
        <f ca="1">_xludf.XLOOKUP(B52,'02_Restaurant_Details'!$A$2:$A$11,'02_Restaurant_Details'!$B$2:$B$11,"Not Found")</f>
        <v>#NAME?</v>
      </c>
    </row>
    <row r="53" spans="1:9" x14ac:dyDescent="0.3">
      <c r="A53" t="s">
        <v>121</v>
      </c>
      <c r="B53">
        <v>1006</v>
      </c>
      <c r="C53" t="s">
        <v>53</v>
      </c>
      <c r="D53" s="3">
        <v>46253</v>
      </c>
      <c r="E53" t="s">
        <v>86</v>
      </c>
      <c r="F53">
        <v>40</v>
      </c>
      <c r="G53">
        <v>168.87</v>
      </c>
      <c r="H53" t="s">
        <v>37</v>
      </c>
      <c r="I53" t="e">
        <f ca="1">_xludf.XLOOKUP(B53,'02_Restaurant_Details'!$A$2:$A$11,'02_Restaurant_Details'!$B$2:$B$11,"Not Found")</f>
        <v>#NAME?</v>
      </c>
    </row>
    <row r="54" spans="1:9" x14ac:dyDescent="0.3">
      <c r="A54" t="s">
        <v>122</v>
      </c>
      <c r="B54">
        <v>1003</v>
      </c>
      <c r="C54" t="s">
        <v>53</v>
      </c>
      <c r="D54" s="3">
        <v>46252</v>
      </c>
      <c r="E54" t="s">
        <v>50</v>
      </c>
      <c r="F54">
        <v>24</v>
      </c>
      <c r="G54">
        <v>79.31</v>
      </c>
      <c r="H54" t="s">
        <v>37</v>
      </c>
      <c r="I54" t="e">
        <f ca="1">_xludf.XLOOKUP(B54,'02_Restaurant_Details'!$A$2:$A$11,'02_Restaurant_Details'!$B$2:$B$11,"Not Found")</f>
        <v>#NAME?</v>
      </c>
    </row>
    <row r="55" spans="1:9" x14ac:dyDescent="0.3">
      <c r="A55" t="s">
        <v>123</v>
      </c>
      <c r="B55">
        <v>1007</v>
      </c>
      <c r="C55" t="s">
        <v>35</v>
      </c>
      <c r="D55" s="3">
        <v>46238</v>
      </c>
      <c r="E55" t="s">
        <v>58</v>
      </c>
      <c r="F55">
        <v>50</v>
      </c>
      <c r="G55">
        <v>241.19</v>
      </c>
      <c r="H55" t="s">
        <v>37</v>
      </c>
      <c r="I55" t="e">
        <f ca="1">_xludf.XLOOKUP(B55,'02_Restaurant_Details'!$A$2:$A$11,'02_Restaurant_Details'!$B$2:$B$11,"Not Found")</f>
        <v>#NAME?</v>
      </c>
    </row>
    <row r="56" spans="1:9" x14ac:dyDescent="0.3">
      <c r="A56" t="s">
        <v>124</v>
      </c>
      <c r="B56">
        <v>1001</v>
      </c>
      <c r="C56" t="s">
        <v>53</v>
      </c>
      <c r="D56" s="3">
        <v>46240</v>
      </c>
      <c r="E56" t="s">
        <v>178</v>
      </c>
      <c r="F56">
        <v>39</v>
      </c>
      <c r="G56">
        <v>88.92</v>
      </c>
      <c r="H56" t="s">
        <v>37</v>
      </c>
      <c r="I56" t="e">
        <f ca="1">_xludf.XLOOKUP(B56,'02_Restaurant_Details'!$A$2:$A$11,'02_Restaurant_Details'!$B$2:$B$11,"Not Found")</f>
        <v>#NAME?</v>
      </c>
    </row>
    <row r="57" spans="1:9" x14ac:dyDescent="0.3">
      <c r="A57" t="s">
        <v>125</v>
      </c>
      <c r="B57">
        <v>1009</v>
      </c>
      <c r="C57" t="s">
        <v>48</v>
      </c>
      <c r="D57" s="3">
        <v>46240</v>
      </c>
      <c r="E57" t="s">
        <v>70</v>
      </c>
      <c r="F57">
        <v>34</v>
      </c>
      <c r="G57">
        <v>154.94999999999999</v>
      </c>
      <c r="H57" t="s">
        <v>55</v>
      </c>
      <c r="I57" t="e">
        <f ca="1">_xludf.XLOOKUP(B57,'02_Restaurant_Details'!$A$2:$A$11,'02_Restaurant_Details'!$B$2:$B$11,"Not Found")</f>
        <v>#NAME?</v>
      </c>
    </row>
    <row r="58" spans="1:9" x14ac:dyDescent="0.3">
      <c r="A58" t="s">
        <v>126</v>
      </c>
      <c r="B58">
        <v>1003</v>
      </c>
      <c r="C58" t="s">
        <v>35</v>
      </c>
      <c r="D58" s="3">
        <v>46257</v>
      </c>
      <c r="E58" t="s">
        <v>70</v>
      </c>
      <c r="F58">
        <v>50</v>
      </c>
      <c r="G58">
        <v>247.31</v>
      </c>
      <c r="H58" t="s">
        <v>55</v>
      </c>
      <c r="I58" t="e">
        <f ca="1">_xludf.XLOOKUP(B58,'02_Restaurant_Details'!$A$2:$A$11,'02_Restaurant_Details'!$B$2:$B$11,"Not Found")</f>
        <v>#NAME?</v>
      </c>
    </row>
    <row r="59" spans="1:9" x14ac:dyDescent="0.3">
      <c r="A59" t="s">
        <v>127</v>
      </c>
      <c r="B59">
        <v>1009</v>
      </c>
      <c r="C59" t="s">
        <v>42</v>
      </c>
      <c r="D59" s="3">
        <v>46245</v>
      </c>
      <c r="E59" t="s">
        <v>58</v>
      </c>
      <c r="F59">
        <v>32</v>
      </c>
      <c r="G59">
        <v>302.64999999999998</v>
      </c>
      <c r="H59" t="s">
        <v>37</v>
      </c>
      <c r="I59" t="e">
        <f ca="1">_xludf.XLOOKUP(B59,'02_Restaurant_Details'!$A$2:$A$11,'02_Restaurant_Details'!$B$2:$B$11,"Not Found")</f>
        <v>#NAME?</v>
      </c>
    </row>
    <row r="60" spans="1:9" x14ac:dyDescent="0.3">
      <c r="A60" t="s">
        <v>128</v>
      </c>
      <c r="B60">
        <v>1010</v>
      </c>
      <c r="C60" t="s">
        <v>53</v>
      </c>
      <c r="D60" s="3">
        <v>46246</v>
      </c>
      <c r="E60" t="s">
        <v>70</v>
      </c>
      <c r="F60">
        <v>18</v>
      </c>
      <c r="G60">
        <v>296.14999999999998</v>
      </c>
      <c r="H60" t="s">
        <v>55</v>
      </c>
      <c r="I60" t="e">
        <f ca="1">_xludf.XLOOKUP(B60,'02_Restaurant_Details'!$A$2:$A$11,'02_Restaurant_Details'!$B$2:$B$11,"Not Found")</f>
        <v>#NAME?</v>
      </c>
    </row>
    <row r="61" spans="1:9" x14ac:dyDescent="0.3">
      <c r="A61" t="s">
        <v>130</v>
      </c>
      <c r="B61">
        <v>1006</v>
      </c>
      <c r="C61" t="s">
        <v>42</v>
      </c>
      <c r="D61" s="3">
        <v>46259</v>
      </c>
      <c r="E61" t="s">
        <v>70</v>
      </c>
      <c r="F61">
        <v>32</v>
      </c>
      <c r="G61">
        <v>305.23</v>
      </c>
      <c r="H61" t="s">
        <v>55</v>
      </c>
      <c r="I61" t="e">
        <f ca="1">_xludf.XLOOKUP(B61,'02_Restaurant_Details'!$A$2:$A$11,'02_Restaurant_Details'!$B$2:$B$11,"Not Found")</f>
        <v>#NAME?</v>
      </c>
    </row>
    <row r="62" spans="1:9" x14ac:dyDescent="0.3">
      <c r="A62" t="s">
        <v>131</v>
      </c>
      <c r="B62">
        <v>1005</v>
      </c>
      <c r="C62" t="s">
        <v>53</v>
      </c>
      <c r="D62" s="3">
        <v>46253</v>
      </c>
      <c r="E62" t="s">
        <v>58</v>
      </c>
      <c r="F62">
        <v>53</v>
      </c>
      <c r="G62">
        <v>124.76</v>
      </c>
      <c r="H62" t="s">
        <v>37</v>
      </c>
      <c r="I62" t="e">
        <f ca="1">_xludf.XLOOKUP(B62,'02_Restaurant_Details'!$A$2:$A$11,'02_Restaurant_Details'!$B$2:$B$11,"Not Found")</f>
        <v>#NAME?</v>
      </c>
    </row>
    <row r="63" spans="1:9" x14ac:dyDescent="0.3">
      <c r="A63" t="s">
        <v>132</v>
      </c>
      <c r="B63">
        <v>1007</v>
      </c>
      <c r="C63" t="s">
        <v>48</v>
      </c>
      <c r="D63" s="3">
        <v>46238</v>
      </c>
      <c r="E63" t="s">
        <v>40</v>
      </c>
      <c r="F63">
        <v>40</v>
      </c>
      <c r="G63">
        <v>206.79</v>
      </c>
      <c r="H63" t="s">
        <v>37</v>
      </c>
      <c r="I63" t="e">
        <f ca="1">_xludf.XLOOKUP(B63,'02_Restaurant_Details'!$A$2:$A$11,'02_Restaurant_Details'!$B$2:$B$11,"Not Found")</f>
        <v>#NAME?</v>
      </c>
    </row>
    <row r="64" spans="1:9" x14ac:dyDescent="0.3">
      <c r="A64" t="s">
        <v>133</v>
      </c>
      <c r="B64">
        <v>1008</v>
      </c>
      <c r="C64" t="s">
        <v>53</v>
      </c>
      <c r="D64" s="3">
        <v>46249</v>
      </c>
      <c r="E64" t="s">
        <v>61</v>
      </c>
      <c r="F64">
        <v>45</v>
      </c>
      <c r="G64">
        <v>62.83</v>
      </c>
      <c r="H64" t="s">
        <v>37</v>
      </c>
      <c r="I64" t="e">
        <f ca="1">_xludf.XLOOKUP(B64,'02_Restaurant_Details'!$A$2:$A$11,'02_Restaurant_Details'!$B$2:$B$11,"Not Found")</f>
        <v>#NAME?</v>
      </c>
    </row>
    <row r="65" spans="1:9" x14ac:dyDescent="0.3">
      <c r="A65" t="s">
        <v>134</v>
      </c>
      <c r="B65">
        <v>1008</v>
      </c>
      <c r="C65" t="s">
        <v>42</v>
      </c>
      <c r="D65" s="3">
        <v>46241</v>
      </c>
      <c r="E65" t="s">
        <v>50</v>
      </c>
      <c r="F65">
        <v>25</v>
      </c>
      <c r="G65">
        <v>230.01</v>
      </c>
      <c r="H65" t="s">
        <v>37</v>
      </c>
      <c r="I65" t="e">
        <f ca="1">_xludf.XLOOKUP(B65,'02_Restaurant_Details'!$A$2:$A$11,'02_Restaurant_Details'!$B$2:$B$11,"Not Found")</f>
        <v>#NAME?</v>
      </c>
    </row>
    <row r="66" spans="1:9" x14ac:dyDescent="0.3">
      <c r="A66" t="s">
        <v>135</v>
      </c>
      <c r="B66">
        <v>1005</v>
      </c>
      <c r="C66" t="s">
        <v>53</v>
      </c>
      <c r="D66" s="3">
        <v>46236</v>
      </c>
      <c r="E66" t="s">
        <v>178</v>
      </c>
      <c r="F66">
        <v>30</v>
      </c>
      <c r="G66">
        <v>137.82</v>
      </c>
      <c r="H66" t="s">
        <v>37</v>
      </c>
      <c r="I66" t="e">
        <f ca="1">_xludf.XLOOKUP(B66,'02_Restaurant_Details'!$A$2:$A$11,'02_Restaurant_Details'!$B$2:$B$11,"Not Found")</f>
        <v>#NAME?</v>
      </c>
    </row>
    <row r="67" spans="1:9" x14ac:dyDescent="0.3">
      <c r="A67" t="s">
        <v>136</v>
      </c>
      <c r="B67">
        <v>1008</v>
      </c>
      <c r="C67" t="s">
        <v>35</v>
      </c>
      <c r="D67" s="3">
        <v>46240</v>
      </c>
      <c r="E67" t="s">
        <v>70</v>
      </c>
      <c r="F67">
        <v>19</v>
      </c>
      <c r="G67">
        <v>347.62</v>
      </c>
      <c r="H67" t="s">
        <v>37</v>
      </c>
      <c r="I67" t="e">
        <f ca="1">_xludf.XLOOKUP(B67,'02_Restaurant_Details'!$A$2:$A$11,'02_Restaurant_Details'!$B$2:$B$11,"Not Found")</f>
        <v>#NAME?</v>
      </c>
    </row>
    <row r="68" spans="1:9" x14ac:dyDescent="0.3">
      <c r="A68" t="s">
        <v>137</v>
      </c>
      <c r="B68">
        <v>1005</v>
      </c>
      <c r="C68" t="s">
        <v>42</v>
      </c>
      <c r="D68" s="3">
        <v>46259</v>
      </c>
      <c r="E68" t="s">
        <v>178</v>
      </c>
      <c r="F68">
        <v>35</v>
      </c>
      <c r="G68">
        <v>135.21</v>
      </c>
      <c r="H68" t="s">
        <v>37</v>
      </c>
      <c r="I68" t="e">
        <f ca="1">_xludf.XLOOKUP(B68,'02_Restaurant_Details'!$A$2:$A$11,'02_Restaurant_Details'!$B$2:$B$11,"Not Found")</f>
        <v>#NAME?</v>
      </c>
    </row>
    <row r="69" spans="1:9" x14ac:dyDescent="0.3">
      <c r="A69" t="s">
        <v>138</v>
      </c>
      <c r="B69">
        <v>1005</v>
      </c>
      <c r="C69" t="s">
        <v>63</v>
      </c>
      <c r="D69" s="3">
        <v>46244</v>
      </c>
      <c r="E69" t="s">
        <v>70</v>
      </c>
      <c r="F69">
        <v>53</v>
      </c>
      <c r="G69">
        <v>185.36</v>
      </c>
      <c r="H69" t="s">
        <v>37</v>
      </c>
      <c r="I69" t="e">
        <f ca="1">_xludf.XLOOKUP(B69,'02_Restaurant_Details'!$A$2:$A$11,'02_Restaurant_Details'!$B$2:$B$11,"Not Found")</f>
        <v>#NAME?</v>
      </c>
    </row>
    <row r="70" spans="1:9" x14ac:dyDescent="0.3">
      <c r="A70" t="s">
        <v>139</v>
      </c>
      <c r="B70">
        <v>1003</v>
      </c>
      <c r="C70" t="s">
        <v>35</v>
      </c>
      <c r="D70" s="3">
        <v>46248</v>
      </c>
      <c r="E70" t="s">
        <v>61</v>
      </c>
      <c r="F70">
        <v>27</v>
      </c>
      <c r="G70">
        <v>63.16</v>
      </c>
      <c r="H70" t="s">
        <v>37</v>
      </c>
      <c r="I70" t="e">
        <f ca="1">_xludf.XLOOKUP(B70,'02_Restaurant_Details'!$A$2:$A$11,'02_Restaurant_Details'!$B$2:$B$11,"Not Found")</f>
        <v>#NAME?</v>
      </c>
    </row>
    <row r="71" spans="1:9" x14ac:dyDescent="0.3">
      <c r="A71" t="s">
        <v>140</v>
      </c>
      <c r="B71">
        <v>1006</v>
      </c>
      <c r="C71" t="s">
        <v>53</v>
      </c>
      <c r="D71" s="3">
        <v>46260</v>
      </c>
      <c r="E71" t="s">
        <v>178</v>
      </c>
      <c r="F71">
        <v>51</v>
      </c>
      <c r="G71">
        <v>230.02</v>
      </c>
      <c r="H71" t="s">
        <v>55</v>
      </c>
      <c r="I71" t="e">
        <f ca="1">_xludf.XLOOKUP(B71,'02_Restaurant_Details'!$A$2:$A$11,'02_Restaurant_Details'!$B$2:$B$11,"Not Found")</f>
        <v>#NAME?</v>
      </c>
    </row>
    <row r="72" spans="1:9" x14ac:dyDescent="0.3">
      <c r="A72" t="s">
        <v>141</v>
      </c>
      <c r="B72">
        <v>1004</v>
      </c>
      <c r="C72" t="s">
        <v>53</v>
      </c>
      <c r="D72" s="3">
        <v>46241</v>
      </c>
      <c r="E72" t="s">
        <v>46</v>
      </c>
      <c r="F72">
        <v>37</v>
      </c>
      <c r="G72">
        <v>53.77</v>
      </c>
      <c r="H72" t="s">
        <v>37</v>
      </c>
      <c r="I72" t="e">
        <f ca="1">_xludf.XLOOKUP(B72,'02_Restaurant_Details'!$A$2:$A$11,'02_Restaurant_Details'!$B$2:$B$11,"Not Found")</f>
        <v>#NAME?</v>
      </c>
    </row>
    <row r="73" spans="1:9" x14ac:dyDescent="0.3">
      <c r="A73" t="s">
        <v>142</v>
      </c>
      <c r="B73">
        <v>1008</v>
      </c>
      <c r="C73" t="s">
        <v>53</v>
      </c>
      <c r="D73" s="3">
        <v>46252</v>
      </c>
      <c r="E73" t="s">
        <v>58</v>
      </c>
      <c r="F73">
        <v>32</v>
      </c>
      <c r="G73">
        <v>74.58</v>
      </c>
      <c r="H73" t="s">
        <v>37</v>
      </c>
      <c r="I73" t="e">
        <f ca="1">_xludf.XLOOKUP(B73,'02_Restaurant_Details'!$A$2:$A$11,'02_Restaurant_Details'!$B$2:$B$11,"Not Found")</f>
        <v>#NAME?</v>
      </c>
    </row>
    <row r="74" spans="1:9" x14ac:dyDescent="0.3">
      <c r="A74" t="s">
        <v>143</v>
      </c>
      <c r="B74">
        <v>1006</v>
      </c>
      <c r="C74" t="s">
        <v>42</v>
      </c>
      <c r="D74" s="3">
        <v>46240</v>
      </c>
      <c r="E74" t="s">
        <v>46</v>
      </c>
      <c r="F74">
        <v>34</v>
      </c>
      <c r="G74">
        <v>243.86</v>
      </c>
      <c r="H74" t="s">
        <v>37</v>
      </c>
      <c r="I74" t="e">
        <f ca="1">_xludf.XLOOKUP(B74,'02_Restaurant_Details'!$A$2:$A$11,'02_Restaurant_Details'!$B$2:$B$11,"Not Found")</f>
        <v>#NAME?</v>
      </c>
    </row>
    <row r="75" spans="1:9" x14ac:dyDescent="0.3">
      <c r="A75" t="s">
        <v>144</v>
      </c>
      <c r="B75">
        <v>1010</v>
      </c>
      <c r="C75" t="s">
        <v>42</v>
      </c>
      <c r="D75" s="3">
        <v>46256</v>
      </c>
      <c r="E75" t="s">
        <v>61</v>
      </c>
      <c r="F75">
        <v>25</v>
      </c>
      <c r="G75">
        <v>277.39999999999998</v>
      </c>
      <c r="H75" t="s">
        <v>37</v>
      </c>
      <c r="I75" t="e">
        <f ca="1">_xludf.XLOOKUP(B75,'02_Restaurant_Details'!$A$2:$A$11,'02_Restaurant_Details'!$B$2:$B$11,"Not Found")</f>
        <v>#NAME?</v>
      </c>
    </row>
    <row r="76" spans="1:9" x14ac:dyDescent="0.3">
      <c r="A76" t="s">
        <v>146</v>
      </c>
      <c r="B76">
        <v>1003</v>
      </c>
      <c r="C76" t="s">
        <v>63</v>
      </c>
      <c r="D76" s="3">
        <v>46239</v>
      </c>
      <c r="E76" t="s">
        <v>70</v>
      </c>
      <c r="F76">
        <v>36</v>
      </c>
      <c r="G76">
        <v>340.75</v>
      </c>
      <c r="H76" t="s">
        <v>37</v>
      </c>
      <c r="I76" t="e">
        <f ca="1">_xludf.XLOOKUP(B76,'02_Restaurant_Details'!$A$2:$A$11,'02_Restaurant_Details'!$B$2:$B$11,"Not Found")</f>
        <v>#NAME?</v>
      </c>
    </row>
    <row r="77" spans="1:9" x14ac:dyDescent="0.3">
      <c r="A77" t="s">
        <v>147</v>
      </c>
      <c r="B77">
        <v>1006</v>
      </c>
      <c r="C77" t="s">
        <v>63</v>
      </c>
      <c r="D77" s="3">
        <v>46254</v>
      </c>
      <c r="E77" t="s">
        <v>70</v>
      </c>
      <c r="F77">
        <v>37</v>
      </c>
      <c r="G77">
        <v>249.56</v>
      </c>
      <c r="H77" t="s">
        <v>37</v>
      </c>
      <c r="I77" t="e">
        <f ca="1">_xludf.XLOOKUP(B77,'02_Restaurant_Details'!$A$2:$A$11,'02_Restaurant_Details'!$B$2:$B$11,"Not Found")</f>
        <v>#NAME?</v>
      </c>
    </row>
    <row r="78" spans="1:9" x14ac:dyDescent="0.3">
      <c r="A78" t="s">
        <v>149</v>
      </c>
      <c r="B78">
        <v>1004</v>
      </c>
      <c r="C78" t="s">
        <v>35</v>
      </c>
      <c r="D78" s="3">
        <v>46239</v>
      </c>
      <c r="E78" t="s">
        <v>46</v>
      </c>
      <c r="F78">
        <v>38</v>
      </c>
      <c r="G78">
        <v>118.5</v>
      </c>
      <c r="H78" t="s">
        <v>37</v>
      </c>
      <c r="I78" t="e">
        <f ca="1">_xludf.XLOOKUP(B78,'02_Restaurant_Details'!$A$2:$A$11,'02_Restaurant_Details'!$B$2:$B$11,"Not Found")</f>
        <v>#NAME?</v>
      </c>
    </row>
    <row r="79" spans="1:9" x14ac:dyDescent="0.3">
      <c r="A79" t="s">
        <v>150</v>
      </c>
      <c r="B79">
        <v>1004</v>
      </c>
      <c r="C79" t="s">
        <v>53</v>
      </c>
      <c r="D79" s="3">
        <v>46253</v>
      </c>
      <c r="E79" t="s">
        <v>178</v>
      </c>
      <c r="F79">
        <v>55</v>
      </c>
      <c r="G79">
        <v>130.91999999999999</v>
      </c>
      <c r="H79" t="s">
        <v>37</v>
      </c>
      <c r="I79" t="e">
        <f ca="1">_xludf.XLOOKUP(B79,'02_Restaurant_Details'!$A$2:$A$11,'02_Restaurant_Details'!$B$2:$B$11,"Not Found")</f>
        <v>#NAME?</v>
      </c>
    </row>
    <row r="80" spans="1:9" x14ac:dyDescent="0.3">
      <c r="A80" t="s">
        <v>151</v>
      </c>
      <c r="B80">
        <v>1007</v>
      </c>
      <c r="C80" t="s">
        <v>53</v>
      </c>
      <c r="D80" s="3">
        <v>46259</v>
      </c>
      <c r="E80" t="s">
        <v>40</v>
      </c>
      <c r="F80">
        <v>19</v>
      </c>
      <c r="G80">
        <v>252.32</v>
      </c>
      <c r="H80" t="s">
        <v>55</v>
      </c>
      <c r="I80" t="e">
        <f ca="1">_xludf.XLOOKUP(B80,'02_Restaurant_Details'!$A$2:$A$11,'02_Restaurant_Details'!$B$2:$B$11,"Not Found")</f>
        <v>#NAME?</v>
      </c>
    </row>
    <row r="81" spans="1:9" x14ac:dyDescent="0.3">
      <c r="A81" t="s">
        <v>152</v>
      </c>
      <c r="B81">
        <v>1008</v>
      </c>
      <c r="C81" t="s">
        <v>42</v>
      </c>
      <c r="D81" s="3">
        <v>46251</v>
      </c>
      <c r="E81" t="s">
        <v>46</v>
      </c>
      <c r="F81">
        <v>50</v>
      </c>
      <c r="G81">
        <v>277.19</v>
      </c>
      <c r="H81" t="s">
        <v>37</v>
      </c>
      <c r="I81" t="e">
        <f ca="1">_xludf.XLOOKUP(B81,'02_Restaurant_Details'!$A$2:$A$11,'02_Restaurant_Details'!$B$2:$B$11,"Not Found")</f>
        <v>#NAME?</v>
      </c>
    </row>
    <row r="82" spans="1:9" x14ac:dyDescent="0.3">
      <c r="A82" t="s">
        <v>154</v>
      </c>
      <c r="B82">
        <v>1006</v>
      </c>
      <c r="C82" t="s">
        <v>63</v>
      </c>
      <c r="D82" s="3">
        <v>46236</v>
      </c>
      <c r="E82" t="s">
        <v>58</v>
      </c>
      <c r="F82">
        <v>28</v>
      </c>
      <c r="G82">
        <v>66.56</v>
      </c>
      <c r="H82" t="s">
        <v>55</v>
      </c>
      <c r="I82" t="e">
        <f ca="1">_xludf.XLOOKUP(B82,'02_Restaurant_Details'!$A$2:$A$11,'02_Restaurant_Details'!$B$2:$B$11,"Not Found")</f>
        <v>#NAME?</v>
      </c>
    </row>
    <row r="83" spans="1:9" x14ac:dyDescent="0.3">
      <c r="A83" t="s">
        <v>155</v>
      </c>
      <c r="B83">
        <v>1004</v>
      </c>
      <c r="C83" t="s">
        <v>48</v>
      </c>
      <c r="D83" s="3">
        <v>46251</v>
      </c>
      <c r="E83" t="s">
        <v>58</v>
      </c>
      <c r="F83">
        <v>32</v>
      </c>
      <c r="G83">
        <v>341.61</v>
      </c>
      <c r="H83" t="s">
        <v>37</v>
      </c>
      <c r="I83" t="e">
        <f ca="1">_xludf.XLOOKUP(B83,'02_Restaurant_Details'!$A$2:$A$11,'02_Restaurant_Details'!$B$2:$B$11,"Not Found")</f>
        <v>#NAME?</v>
      </c>
    </row>
    <row r="84" spans="1:9" x14ac:dyDescent="0.3">
      <c r="A84" t="s">
        <v>156</v>
      </c>
      <c r="B84">
        <v>1010</v>
      </c>
      <c r="C84" t="s">
        <v>63</v>
      </c>
      <c r="D84" s="3">
        <v>46256</v>
      </c>
      <c r="E84" t="s">
        <v>40</v>
      </c>
      <c r="F84">
        <v>50</v>
      </c>
      <c r="G84">
        <v>59.87</v>
      </c>
      <c r="H84" t="s">
        <v>37</v>
      </c>
      <c r="I84" t="e">
        <f ca="1">_xludf.XLOOKUP(B84,'02_Restaurant_Details'!$A$2:$A$11,'02_Restaurant_Details'!$B$2:$B$11,"Not Found")</f>
        <v>#NAME?</v>
      </c>
    </row>
    <row r="85" spans="1:9" x14ac:dyDescent="0.3">
      <c r="A85" t="s">
        <v>157</v>
      </c>
      <c r="B85">
        <v>1001</v>
      </c>
      <c r="C85" t="s">
        <v>63</v>
      </c>
      <c r="D85" s="3">
        <v>46265</v>
      </c>
      <c r="E85" t="s">
        <v>61</v>
      </c>
      <c r="F85">
        <v>42</v>
      </c>
      <c r="G85">
        <v>72.25</v>
      </c>
      <c r="H85" t="s">
        <v>55</v>
      </c>
      <c r="I85" t="e">
        <f ca="1">_xludf.XLOOKUP(B85,'02_Restaurant_Details'!$A$2:$A$11,'02_Restaurant_Details'!$B$2:$B$11,"Not Found")</f>
        <v>#NAME?</v>
      </c>
    </row>
    <row r="86" spans="1:9" x14ac:dyDescent="0.3">
      <c r="A86" t="s">
        <v>159</v>
      </c>
      <c r="B86">
        <v>1009</v>
      </c>
      <c r="C86" t="s">
        <v>48</v>
      </c>
      <c r="D86" s="3">
        <v>46238</v>
      </c>
      <c r="E86" t="s">
        <v>58</v>
      </c>
      <c r="F86">
        <v>25</v>
      </c>
      <c r="G86">
        <v>333.82</v>
      </c>
      <c r="H86" t="s">
        <v>37</v>
      </c>
      <c r="I86" t="e">
        <f ca="1">_xludf.XLOOKUP(B86,'02_Restaurant_Details'!$A$2:$A$11,'02_Restaurant_Details'!$B$2:$B$11,"Not Found")</f>
        <v>#NAME?</v>
      </c>
    </row>
    <row r="87" spans="1:9" x14ac:dyDescent="0.3">
      <c r="A87" t="s">
        <v>160</v>
      </c>
      <c r="B87">
        <v>1007</v>
      </c>
      <c r="C87" t="s">
        <v>35</v>
      </c>
      <c r="D87" s="3">
        <v>46242</v>
      </c>
      <c r="E87" t="s">
        <v>46</v>
      </c>
      <c r="F87">
        <v>24</v>
      </c>
      <c r="G87">
        <v>347.46</v>
      </c>
      <c r="H87" t="s">
        <v>37</v>
      </c>
      <c r="I87" t="e">
        <f ca="1">_xludf.XLOOKUP(B87,'02_Restaurant_Details'!$A$2:$A$11,'02_Restaurant_Details'!$B$2:$B$11,"Not Found")</f>
        <v>#NAME?</v>
      </c>
    </row>
    <row r="88" spans="1:9" x14ac:dyDescent="0.3">
      <c r="A88" t="s">
        <v>161</v>
      </c>
      <c r="B88">
        <v>1010</v>
      </c>
      <c r="C88" t="s">
        <v>42</v>
      </c>
      <c r="D88" s="3">
        <v>46245</v>
      </c>
      <c r="E88" t="s">
        <v>50</v>
      </c>
      <c r="F88">
        <v>41</v>
      </c>
      <c r="G88">
        <v>264.08</v>
      </c>
      <c r="H88" t="s">
        <v>37</v>
      </c>
      <c r="I88" t="e">
        <f ca="1">_xludf.XLOOKUP(B88,'02_Restaurant_Details'!$A$2:$A$11,'02_Restaurant_Details'!$B$2:$B$11,"Not Found")</f>
        <v>#NAME?</v>
      </c>
    </row>
    <row r="89" spans="1:9" x14ac:dyDescent="0.3">
      <c r="A89" t="s">
        <v>162</v>
      </c>
      <c r="B89">
        <v>1006</v>
      </c>
      <c r="C89" t="s">
        <v>63</v>
      </c>
      <c r="D89" s="3">
        <v>46243</v>
      </c>
      <c r="E89" t="s">
        <v>70</v>
      </c>
      <c r="F89">
        <v>35</v>
      </c>
      <c r="G89">
        <v>269.23</v>
      </c>
      <c r="H89" t="s">
        <v>37</v>
      </c>
      <c r="I89" t="e">
        <f ca="1">_xludf.XLOOKUP(B89,'02_Restaurant_Details'!$A$2:$A$11,'02_Restaurant_Details'!$B$2:$B$11,"Not Found")</f>
        <v>#NAME?</v>
      </c>
    </row>
    <row r="90" spans="1:9" x14ac:dyDescent="0.3">
      <c r="A90" t="s">
        <v>163</v>
      </c>
      <c r="B90">
        <v>1005</v>
      </c>
      <c r="C90" t="s">
        <v>42</v>
      </c>
      <c r="D90" s="3">
        <v>46252</v>
      </c>
      <c r="E90" t="s">
        <v>46</v>
      </c>
      <c r="F90">
        <v>24</v>
      </c>
      <c r="G90">
        <v>192.77</v>
      </c>
      <c r="H90" t="s">
        <v>37</v>
      </c>
      <c r="I90" t="e">
        <f ca="1">_xludf.XLOOKUP(B90,'02_Restaurant_Details'!$A$2:$A$11,'02_Restaurant_Details'!$B$2:$B$11,"Not Found")</f>
        <v>#NAME?</v>
      </c>
    </row>
    <row r="91" spans="1:9" x14ac:dyDescent="0.3">
      <c r="A91" t="s">
        <v>164</v>
      </c>
      <c r="B91">
        <v>1003</v>
      </c>
      <c r="C91" t="s">
        <v>35</v>
      </c>
      <c r="D91" s="3">
        <v>46257</v>
      </c>
      <c r="E91" t="s">
        <v>61</v>
      </c>
      <c r="F91">
        <v>23</v>
      </c>
      <c r="G91">
        <v>293.08999999999997</v>
      </c>
      <c r="H91" t="s">
        <v>55</v>
      </c>
      <c r="I91" t="e">
        <f ca="1">_xludf.XLOOKUP(B91,'02_Restaurant_Details'!$A$2:$A$11,'02_Restaurant_Details'!$B$2:$B$11,"Not Found")</f>
        <v>#NAME?</v>
      </c>
    </row>
    <row r="92" spans="1:9" x14ac:dyDescent="0.3">
      <c r="A92" t="s">
        <v>165</v>
      </c>
      <c r="B92">
        <v>1008</v>
      </c>
      <c r="C92" t="s">
        <v>42</v>
      </c>
      <c r="D92" s="3">
        <v>46251</v>
      </c>
      <c r="E92" t="s">
        <v>178</v>
      </c>
      <c r="F92">
        <v>23</v>
      </c>
      <c r="G92">
        <v>287.76</v>
      </c>
      <c r="H92" t="s">
        <v>55</v>
      </c>
      <c r="I92" t="e">
        <f ca="1">_xludf.XLOOKUP(B92,'02_Restaurant_Details'!$A$2:$A$11,'02_Restaurant_Details'!$B$2:$B$11,"Not Found")</f>
        <v>#NAME?</v>
      </c>
    </row>
    <row r="93" spans="1:9" x14ac:dyDescent="0.3">
      <c r="A93" t="s">
        <v>166</v>
      </c>
      <c r="B93">
        <v>1002</v>
      </c>
      <c r="C93" t="s">
        <v>42</v>
      </c>
      <c r="D93" s="3">
        <v>46244</v>
      </c>
      <c r="E93" t="s">
        <v>50</v>
      </c>
      <c r="F93">
        <v>27</v>
      </c>
      <c r="G93">
        <v>288.45999999999998</v>
      </c>
      <c r="H93" t="s">
        <v>55</v>
      </c>
      <c r="I93" t="e">
        <f ca="1">_xludf.XLOOKUP(B93,'02_Restaurant_Details'!$A$2:$A$11,'02_Restaurant_Details'!$B$2:$B$11,"Not Found")</f>
        <v>#NAME?</v>
      </c>
    </row>
    <row r="94" spans="1:9" x14ac:dyDescent="0.3">
      <c r="A94" t="s">
        <v>167</v>
      </c>
      <c r="B94">
        <v>1009</v>
      </c>
      <c r="C94" t="s">
        <v>63</v>
      </c>
      <c r="D94" s="3">
        <v>46249</v>
      </c>
      <c r="E94" t="s">
        <v>61</v>
      </c>
      <c r="F94">
        <v>43</v>
      </c>
      <c r="G94">
        <v>169.98</v>
      </c>
      <c r="H94" t="s">
        <v>55</v>
      </c>
      <c r="I94" t="e">
        <f ca="1">_xludf.XLOOKUP(B94,'02_Restaurant_Details'!$A$2:$A$11,'02_Restaurant_Details'!$B$2:$B$11,"Not Found")</f>
        <v>#NAME?</v>
      </c>
    </row>
    <row r="95" spans="1:9" x14ac:dyDescent="0.3">
      <c r="A95" t="s">
        <v>168</v>
      </c>
      <c r="B95">
        <v>1006</v>
      </c>
      <c r="C95" t="s">
        <v>42</v>
      </c>
      <c r="D95" s="3">
        <v>46263</v>
      </c>
      <c r="E95" t="s">
        <v>70</v>
      </c>
      <c r="F95">
        <v>48</v>
      </c>
      <c r="G95">
        <v>336.09</v>
      </c>
      <c r="H95" t="s">
        <v>37</v>
      </c>
      <c r="I95" t="e">
        <f ca="1">_xludf.XLOOKUP(B95,'02_Restaurant_Details'!$A$2:$A$11,'02_Restaurant_Details'!$B$2:$B$11,"Not Found")</f>
        <v>#NAME?</v>
      </c>
    </row>
    <row r="96" spans="1:9" x14ac:dyDescent="0.3">
      <c r="A96" t="s">
        <v>170</v>
      </c>
      <c r="B96">
        <v>1006</v>
      </c>
      <c r="C96" t="s">
        <v>53</v>
      </c>
      <c r="D96" s="3">
        <v>46258</v>
      </c>
      <c r="E96" t="s">
        <v>58</v>
      </c>
      <c r="F96">
        <v>20</v>
      </c>
      <c r="G96">
        <v>189.98</v>
      </c>
      <c r="H96" t="s">
        <v>37</v>
      </c>
      <c r="I96" t="e">
        <f ca="1">_xludf.XLOOKUP(B96,'02_Restaurant_Details'!$A$2:$A$11,'02_Restaurant_Details'!$B$2:$B$11,"Not Found")</f>
        <v>#NAME?</v>
      </c>
    </row>
    <row r="97" spans="1:9" x14ac:dyDescent="0.3">
      <c r="A97" t="s">
        <v>172</v>
      </c>
      <c r="B97">
        <v>1007</v>
      </c>
      <c r="C97" t="s">
        <v>53</v>
      </c>
      <c r="D97" s="3">
        <v>46262</v>
      </c>
      <c r="E97" t="s">
        <v>86</v>
      </c>
      <c r="F97">
        <v>43</v>
      </c>
      <c r="G97">
        <v>147.69999999999999</v>
      </c>
      <c r="H97" t="s">
        <v>37</v>
      </c>
      <c r="I97" t="e">
        <f ca="1">_xludf.XLOOKUP(B97,'02_Restaurant_Details'!$A$2:$A$11,'02_Restaurant_Details'!$B$2:$B$11,"Not Found")</f>
        <v>#NAME?</v>
      </c>
    </row>
    <row r="98" spans="1:9" x14ac:dyDescent="0.3">
      <c r="A98" t="s">
        <v>173</v>
      </c>
      <c r="B98">
        <v>1001</v>
      </c>
      <c r="C98" t="s">
        <v>42</v>
      </c>
      <c r="D98" s="3">
        <v>46240</v>
      </c>
      <c r="E98" t="s">
        <v>86</v>
      </c>
      <c r="F98">
        <v>40</v>
      </c>
      <c r="G98">
        <v>106.68</v>
      </c>
      <c r="H98" t="s">
        <v>37</v>
      </c>
      <c r="I98" t="e">
        <f ca="1">_xludf.XLOOKUP(B98,'02_Restaurant_Details'!$A$2:$A$11,'02_Restaurant_Details'!$B$2:$B$11,"Not Found")</f>
        <v>#NAME?</v>
      </c>
    </row>
    <row r="99" spans="1:9" x14ac:dyDescent="0.3">
      <c r="A99" t="s">
        <v>174</v>
      </c>
      <c r="B99">
        <v>1001</v>
      </c>
      <c r="C99" t="s">
        <v>63</v>
      </c>
      <c r="D99" s="3">
        <v>46237</v>
      </c>
      <c r="E99" t="s">
        <v>40</v>
      </c>
      <c r="F99">
        <v>23</v>
      </c>
      <c r="G99">
        <v>274.31</v>
      </c>
      <c r="H99" t="s">
        <v>55</v>
      </c>
      <c r="I99" t="e">
        <f ca="1">_xludf.XLOOKUP(B99,'02_Restaurant_Details'!$A$2:$A$11,'02_Restaurant_Details'!$B$2:$B$11,"Not Found")</f>
        <v>#NAME?</v>
      </c>
    </row>
    <row r="100" spans="1:9" x14ac:dyDescent="0.3">
      <c r="A100" t="s">
        <v>176</v>
      </c>
      <c r="B100">
        <v>1010</v>
      </c>
      <c r="C100" t="s">
        <v>48</v>
      </c>
      <c r="D100" s="3">
        <v>46256</v>
      </c>
      <c r="E100" t="s">
        <v>46</v>
      </c>
      <c r="F100">
        <v>54</v>
      </c>
      <c r="G100">
        <v>283.02999999999997</v>
      </c>
      <c r="H100" t="s">
        <v>37</v>
      </c>
      <c r="I100" t="e">
        <f ca="1">_xludf.XLOOKUP(B100,'02_Restaurant_Details'!$A$2:$A$11,'02_Restaurant_Details'!$B$2:$B$11,"Not Found")</f>
        <v>#NAME?</v>
      </c>
    </row>
    <row r="101" spans="1:9" x14ac:dyDescent="0.3">
      <c r="A101" t="s">
        <v>177</v>
      </c>
      <c r="B101">
        <v>1009</v>
      </c>
      <c r="C101" t="s">
        <v>53</v>
      </c>
      <c r="D101" s="3">
        <v>46253</v>
      </c>
      <c r="E101" t="s">
        <v>70</v>
      </c>
      <c r="F101">
        <v>52</v>
      </c>
      <c r="G101">
        <v>136.31</v>
      </c>
      <c r="H101" t="s">
        <v>55</v>
      </c>
      <c r="I101" t="e">
        <f ca="1">_xludf.XLOOKUP(B101,'02_Restaurant_Details'!$A$2:$A$11,'02_Restaurant_Details'!$B$2:$B$11,"Not Found")</f>
        <v>#NAME?</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1"/>
  <sheetViews>
    <sheetView workbookViewId="0">
      <selection activeCell="D1" sqref="A1:D1"/>
    </sheetView>
  </sheetViews>
  <sheetFormatPr defaultRowHeight="14.4" x14ac:dyDescent="0.3"/>
  <cols>
    <col min="1" max="1" width="10" customWidth="1"/>
    <col min="2" max="2" width="21" customWidth="1"/>
    <col min="3" max="3" width="20" customWidth="1"/>
    <col min="4" max="4" width="18" customWidth="1"/>
  </cols>
  <sheetData>
    <row r="1" spans="1:4" x14ac:dyDescent="0.3">
      <c r="A1" s="9" t="s">
        <v>26</v>
      </c>
      <c r="B1" s="9" t="s">
        <v>29</v>
      </c>
      <c r="C1" s="9" t="s">
        <v>191</v>
      </c>
      <c r="D1" s="9" t="s">
        <v>192</v>
      </c>
    </row>
    <row r="2" spans="1:4" x14ac:dyDescent="0.3">
      <c r="A2" t="s">
        <v>34</v>
      </c>
      <c r="B2" s="3">
        <v>46235</v>
      </c>
      <c r="C2" t="str">
        <f t="shared" ref="C2:C33" si="0">TEXT(B2,"dddd")</f>
        <v>Saturday</v>
      </c>
      <c r="D2">
        <f t="shared" ref="D2:D33" si="1">WEEKDAY(B2,2)</f>
        <v>6</v>
      </c>
    </row>
    <row r="3" spans="1:4" x14ac:dyDescent="0.3">
      <c r="A3" t="s">
        <v>38</v>
      </c>
      <c r="B3" s="3">
        <v>46243</v>
      </c>
      <c r="C3" t="str">
        <f t="shared" si="0"/>
        <v>Sunday</v>
      </c>
      <c r="D3">
        <f t="shared" si="1"/>
        <v>7</v>
      </c>
    </row>
    <row r="4" spans="1:4" x14ac:dyDescent="0.3">
      <c r="A4" t="s">
        <v>41</v>
      </c>
      <c r="B4" s="3">
        <v>46257</v>
      </c>
      <c r="C4" t="str">
        <f t="shared" si="0"/>
        <v>Sunday</v>
      </c>
      <c r="D4">
        <f t="shared" si="1"/>
        <v>7</v>
      </c>
    </row>
    <row r="5" spans="1:4" x14ac:dyDescent="0.3">
      <c r="A5" t="s">
        <v>44</v>
      </c>
      <c r="B5" s="3">
        <v>46241</v>
      </c>
      <c r="C5" t="str">
        <f t="shared" si="0"/>
        <v>Friday</v>
      </c>
      <c r="D5">
        <f t="shared" si="1"/>
        <v>5</v>
      </c>
    </row>
    <row r="6" spans="1:4" x14ac:dyDescent="0.3">
      <c r="A6" t="s">
        <v>47</v>
      </c>
      <c r="B6" s="3">
        <v>46245</v>
      </c>
      <c r="C6" t="str">
        <f t="shared" si="0"/>
        <v>Tuesday</v>
      </c>
      <c r="D6">
        <f t="shared" si="1"/>
        <v>2</v>
      </c>
    </row>
    <row r="7" spans="1:4" x14ac:dyDescent="0.3">
      <c r="A7" t="s">
        <v>51</v>
      </c>
      <c r="B7" s="3">
        <v>46243</v>
      </c>
      <c r="C7" t="str">
        <f t="shared" si="0"/>
        <v>Sunday</v>
      </c>
      <c r="D7">
        <f t="shared" si="1"/>
        <v>7</v>
      </c>
    </row>
    <row r="8" spans="1:4" x14ac:dyDescent="0.3">
      <c r="A8" t="s">
        <v>52</v>
      </c>
      <c r="B8" s="3">
        <v>46248</v>
      </c>
      <c r="C8" t="str">
        <f t="shared" si="0"/>
        <v>Friday</v>
      </c>
      <c r="D8">
        <f t="shared" si="1"/>
        <v>5</v>
      </c>
    </row>
    <row r="9" spans="1:4" x14ac:dyDescent="0.3">
      <c r="A9" t="s">
        <v>56</v>
      </c>
      <c r="B9" s="3">
        <v>46244</v>
      </c>
      <c r="C9" t="str">
        <f t="shared" si="0"/>
        <v>Monday</v>
      </c>
      <c r="D9">
        <f t="shared" si="1"/>
        <v>1</v>
      </c>
    </row>
    <row r="10" spans="1:4" x14ac:dyDescent="0.3">
      <c r="A10" t="s">
        <v>59</v>
      </c>
      <c r="B10" s="3">
        <v>46252</v>
      </c>
      <c r="C10" t="str">
        <f t="shared" si="0"/>
        <v>Tuesday</v>
      </c>
      <c r="D10">
        <f t="shared" si="1"/>
        <v>2</v>
      </c>
    </row>
    <row r="11" spans="1:4" x14ac:dyDescent="0.3">
      <c r="A11" t="s">
        <v>62</v>
      </c>
      <c r="B11" s="3">
        <v>46238</v>
      </c>
      <c r="C11" t="str">
        <f t="shared" si="0"/>
        <v>Tuesday</v>
      </c>
      <c r="D11">
        <f t="shared" si="1"/>
        <v>2</v>
      </c>
    </row>
    <row r="12" spans="1:4" x14ac:dyDescent="0.3">
      <c r="A12" t="s">
        <v>65</v>
      </c>
      <c r="B12" s="3">
        <v>46247</v>
      </c>
      <c r="C12" t="str">
        <f t="shared" si="0"/>
        <v>Thursday</v>
      </c>
      <c r="D12">
        <f t="shared" si="1"/>
        <v>4</v>
      </c>
    </row>
    <row r="13" spans="1:4" x14ac:dyDescent="0.3">
      <c r="A13" t="s">
        <v>67</v>
      </c>
      <c r="B13" s="3">
        <v>46252</v>
      </c>
      <c r="C13" t="str">
        <f t="shared" si="0"/>
        <v>Tuesday</v>
      </c>
      <c r="D13">
        <f t="shared" si="1"/>
        <v>2</v>
      </c>
    </row>
    <row r="14" spans="1:4" x14ac:dyDescent="0.3">
      <c r="A14" t="s">
        <v>68</v>
      </c>
      <c r="B14" s="3">
        <v>46236</v>
      </c>
      <c r="C14" t="str">
        <f t="shared" si="0"/>
        <v>Sunday</v>
      </c>
      <c r="D14">
        <f t="shared" si="1"/>
        <v>7</v>
      </c>
    </row>
    <row r="15" spans="1:4" x14ac:dyDescent="0.3">
      <c r="A15" t="s">
        <v>71</v>
      </c>
      <c r="B15" s="3">
        <v>46241</v>
      </c>
      <c r="C15" t="str">
        <f t="shared" si="0"/>
        <v>Friday</v>
      </c>
      <c r="D15">
        <f t="shared" si="1"/>
        <v>5</v>
      </c>
    </row>
    <row r="16" spans="1:4" x14ac:dyDescent="0.3">
      <c r="A16" t="s">
        <v>72</v>
      </c>
      <c r="B16" s="3">
        <v>46250</v>
      </c>
      <c r="C16" t="str">
        <f t="shared" si="0"/>
        <v>Sunday</v>
      </c>
      <c r="D16">
        <f t="shared" si="1"/>
        <v>7</v>
      </c>
    </row>
    <row r="17" spans="1:4" x14ac:dyDescent="0.3">
      <c r="A17" t="s">
        <v>74</v>
      </c>
      <c r="B17" s="3">
        <v>46255</v>
      </c>
      <c r="C17" t="str">
        <f t="shared" si="0"/>
        <v>Friday</v>
      </c>
      <c r="D17">
        <f t="shared" si="1"/>
        <v>5</v>
      </c>
    </row>
    <row r="18" spans="1:4" x14ac:dyDescent="0.3">
      <c r="A18" t="s">
        <v>76</v>
      </c>
      <c r="B18" s="3">
        <v>46240</v>
      </c>
      <c r="C18" t="str">
        <f t="shared" si="0"/>
        <v>Thursday</v>
      </c>
      <c r="D18">
        <f t="shared" si="1"/>
        <v>4</v>
      </c>
    </row>
    <row r="19" spans="1:4" x14ac:dyDescent="0.3">
      <c r="A19" t="s">
        <v>78</v>
      </c>
      <c r="B19" s="3">
        <v>46257</v>
      </c>
      <c r="C19" t="str">
        <f t="shared" si="0"/>
        <v>Sunday</v>
      </c>
      <c r="D19">
        <f t="shared" si="1"/>
        <v>7</v>
      </c>
    </row>
    <row r="20" spans="1:4" x14ac:dyDescent="0.3">
      <c r="A20" t="s">
        <v>79</v>
      </c>
      <c r="B20" s="3">
        <v>46241</v>
      </c>
      <c r="C20" t="str">
        <f t="shared" si="0"/>
        <v>Friday</v>
      </c>
      <c r="D20">
        <f t="shared" si="1"/>
        <v>5</v>
      </c>
    </row>
    <row r="21" spans="1:4" x14ac:dyDescent="0.3">
      <c r="A21" t="s">
        <v>80</v>
      </c>
      <c r="B21" s="3">
        <v>46259</v>
      </c>
      <c r="C21" t="str">
        <f t="shared" si="0"/>
        <v>Tuesday</v>
      </c>
      <c r="D21">
        <f t="shared" si="1"/>
        <v>2</v>
      </c>
    </row>
    <row r="22" spans="1:4" x14ac:dyDescent="0.3">
      <c r="A22" t="s">
        <v>82</v>
      </c>
      <c r="B22" s="3">
        <v>46238</v>
      </c>
      <c r="C22" t="str">
        <f t="shared" si="0"/>
        <v>Tuesday</v>
      </c>
      <c r="D22">
        <f t="shared" si="1"/>
        <v>2</v>
      </c>
    </row>
    <row r="23" spans="1:4" x14ac:dyDescent="0.3">
      <c r="A23" t="s">
        <v>83</v>
      </c>
      <c r="B23" s="3">
        <v>46259</v>
      </c>
      <c r="C23" t="str">
        <f t="shared" si="0"/>
        <v>Tuesday</v>
      </c>
      <c r="D23">
        <f t="shared" si="1"/>
        <v>2</v>
      </c>
    </row>
    <row r="24" spans="1:4" x14ac:dyDescent="0.3">
      <c r="A24" t="s">
        <v>84</v>
      </c>
      <c r="B24" s="3">
        <v>46242</v>
      </c>
      <c r="C24" t="str">
        <f t="shared" si="0"/>
        <v>Saturday</v>
      </c>
      <c r="D24">
        <f t="shared" si="1"/>
        <v>6</v>
      </c>
    </row>
    <row r="25" spans="1:4" x14ac:dyDescent="0.3">
      <c r="A25" t="s">
        <v>87</v>
      </c>
      <c r="B25" s="3">
        <v>46240</v>
      </c>
      <c r="C25" t="str">
        <f t="shared" si="0"/>
        <v>Thursday</v>
      </c>
      <c r="D25">
        <f t="shared" si="1"/>
        <v>4</v>
      </c>
    </row>
    <row r="26" spans="1:4" x14ac:dyDescent="0.3">
      <c r="A26" t="s">
        <v>88</v>
      </c>
      <c r="B26" s="3">
        <v>46236</v>
      </c>
      <c r="C26" t="str">
        <f t="shared" si="0"/>
        <v>Sunday</v>
      </c>
      <c r="D26">
        <f t="shared" si="1"/>
        <v>7</v>
      </c>
    </row>
    <row r="27" spans="1:4" x14ac:dyDescent="0.3">
      <c r="A27" t="s">
        <v>89</v>
      </c>
      <c r="B27" s="3">
        <v>46262</v>
      </c>
      <c r="C27" t="str">
        <f t="shared" si="0"/>
        <v>Friday</v>
      </c>
      <c r="D27">
        <f t="shared" si="1"/>
        <v>5</v>
      </c>
    </row>
    <row r="28" spans="1:4" x14ac:dyDescent="0.3">
      <c r="A28" t="s">
        <v>91</v>
      </c>
      <c r="B28" s="3">
        <v>46243</v>
      </c>
      <c r="C28" t="str">
        <f t="shared" si="0"/>
        <v>Sunday</v>
      </c>
      <c r="D28">
        <f t="shared" si="1"/>
        <v>7</v>
      </c>
    </row>
    <row r="29" spans="1:4" x14ac:dyDescent="0.3">
      <c r="A29" t="s">
        <v>92</v>
      </c>
      <c r="B29" s="3">
        <v>46252</v>
      </c>
      <c r="C29" t="str">
        <f t="shared" si="0"/>
        <v>Tuesday</v>
      </c>
      <c r="D29">
        <f t="shared" si="1"/>
        <v>2</v>
      </c>
    </row>
    <row r="30" spans="1:4" x14ac:dyDescent="0.3">
      <c r="A30" t="s">
        <v>93</v>
      </c>
      <c r="B30" s="3">
        <v>46243</v>
      </c>
      <c r="C30" t="str">
        <f t="shared" si="0"/>
        <v>Sunday</v>
      </c>
      <c r="D30">
        <f t="shared" si="1"/>
        <v>7</v>
      </c>
    </row>
    <row r="31" spans="1:4" x14ac:dyDescent="0.3">
      <c r="A31" t="s">
        <v>94</v>
      </c>
      <c r="B31" s="3">
        <v>46252</v>
      </c>
      <c r="C31" t="str">
        <f t="shared" si="0"/>
        <v>Tuesday</v>
      </c>
      <c r="D31">
        <f t="shared" si="1"/>
        <v>2</v>
      </c>
    </row>
    <row r="32" spans="1:4" x14ac:dyDescent="0.3">
      <c r="A32" t="s">
        <v>95</v>
      </c>
      <c r="B32" s="3">
        <v>46241</v>
      </c>
      <c r="C32" t="str">
        <f t="shared" si="0"/>
        <v>Friday</v>
      </c>
      <c r="D32">
        <f t="shared" si="1"/>
        <v>5</v>
      </c>
    </row>
    <row r="33" spans="1:4" x14ac:dyDescent="0.3">
      <c r="A33" t="s">
        <v>96</v>
      </c>
      <c r="B33" s="3">
        <v>46236</v>
      </c>
      <c r="C33" t="str">
        <f t="shared" si="0"/>
        <v>Sunday</v>
      </c>
      <c r="D33">
        <f t="shared" si="1"/>
        <v>7</v>
      </c>
    </row>
    <row r="34" spans="1:4" x14ac:dyDescent="0.3">
      <c r="A34" t="s">
        <v>97</v>
      </c>
      <c r="B34" s="3">
        <v>46259</v>
      </c>
      <c r="C34" t="str">
        <f t="shared" ref="C34:C65" si="2">TEXT(B34,"dddd")</f>
        <v>Tuesday</v>
      </c>
      <c r="D34">
        <f t="shared" ref="D34:D65" si="3">WEEKDAY(B34,2)</f>
        <v>2</v>
      </c>
    </row>
    <row r="35" spans="1:4" x14ac:dyDescent="0.3">
      <c r="A35" t="s">
        <v>98</v>
      </c>
      <c r="B35" s="3">
        <v>46253</v>
      </c>
      <c r="C35" t="str">
        <f t="shared" si="2"/>
        <v>Wednesday</v>
      </c>
      <c r="D35">
        <f t="shared" si="3"/>
        <v>3</v>
      </c>
    </row>
    <row r="36" spans="1:4" x14ac:dyDescent="0.3">
      <c r="A36" t="s">
        <v>100</v>
      </c>
      <c r="B36" s="3">
        <v>46253</v>
      </c>
      <c r="C36" t="str">
        <f t="shared" si="2"/>
        <v>Wednesday</v>
      </c>
      <c r="D36">
        <f t="shared" si="3"/>
        <v>3</v>
      </c>
    </row>
    <row r="37" spans="1:4" x14ac:dyDescent="0.3">
      <c r="A37" t="s">
        <v>101</v>
      </c>
      <c r="B37" s="3">
        <v>46255</v>
      </c>
      <c r="C37" t="str">
        <f t="shared" si="2"/>
        <v>Friday</v>
      </c>
      <c r="D37">
        <f t="shared" si="3"/>
        <v>5</v>
      </c>
    </row>
    <row r="38" spans="1:4" x14ac:dyDescent="0.3">
      <c r="A38" t="s">
        <v>102</v>
      </c>
      <c r="B38" s="3">
        <v>46264</v>
      </c>
      <c r="C38" t="str">
        <f t="shared" si="2"/>
        <v>Sunday</v>
      </c>
      <c r="D38">
        <f t="shared" si="3"/>
        <v>7</v>
      </c>
    </row>
    <row r="39" spans="1:4" x14ac:dyDescent="0.3">
      <c r="A39" t="s">
        <v>104</v>
      </c>
      <c r="B39" s="3">
        <v>46264</v>
      </c>
      <c r="C39" t="str">
        <f t="shared" si="2"/>
        <v>Sunday</v>
      </c>
      <c r="D39">
        <f t="shared" si="3"/>
        <v>7</v>
      </c>
    </row>
    <row r="40" spans="1:4" x14ac:dyDescent="0.3">
      <c r="A40" t="s">
        <v>105</v>
      </c>
      <c r="B40" s="3">
        <v>46248</v>
      </c>
      <c r="C40" t="str">
        <f t="shared" si="2"/>
        <v>Friday</v>
      </c>
      <c r="D40">
        <f t="shared" si="3"/>
        <v>5</v>
      </c>
    </row>
    <row r="41" spans="1:4" x14ac:dyDescent="0.3">
      <c r="A41" t="s">
        <v>106</v>
      </c>
      <c r="B41" s="3">
        <v>46252</v>
      </c>
      <c r="C41" t="str">
        <f t="shared" si="2"/>
        <v>Tuesday</v>
      </c>
      <c r="D41">
        <f t="shared" si="3"/>
        <v>2</v>
      </c>
    </row>
    <row r="42" spans="1:4" x14ac:dyDescent="0.3">
      <c r="A42" t="s">
        <v>107</v>
      </c>
      <c r="B42" s="3">
        <v>46252</v>
      </c>
      <c r="C42" t="str">
        <f t="shared" si="2"/>
        <v>Tuesday</v>
      </c>
      <c r="D42">
        <f t="shared" si="3"/>
        <v>2</v>
      </c>
    </row>
    <row r="43" spans="1:4" x14ac:dyDescent="0.3">
      <c r="A43" t="s">
        <v>108</v>
      </c>
      <c r="B43" s="3">
        <v>46239</v>
      </c>
      <c r="C43" t="str">
        <f t="shared" si="2"/>
        <v>Wednesday</v>
      </c>
      <c r="D43">
        <f t="shared" si="3"/>
        <v>3</v>
      </c>
    </row>
    <row r="44" spans="1:4" x14ac:dyDescent="0.3">
      <c r="A44" t="s">
        <v>110</v>
      </c>
      <c r="B44" s="3">
        <v>46252</v>
      </c>
      <c r="C44" t="str">
        <f t="shared" si="2"/>
        <v>Tuesday</v>
      </c>
      <c r="D44">
        <f t="shared" si="3"/>
        <v>2</v>
      </c>
    </row>
    <row r="45" spans="1:4" x14ac:dyDescent="0.3">
      <c r="A45" t="s">
        <v>111</v>
      </c>
      <c r="B45" s="3">
        <v>46241</v>
      </c>
      <c r="C45" t="str">
        <f t="shared" si="2"/>
        <v>Friday</v>
      </c>
      <c r="D45">
        <f t="shared" si="3"/>
        <v>5</v>
      </c>
    </row>
    <row r="46" spans="1:4" x14ac:dyDescent="0.3">
      <c r="A46" t="s">
        <v>112</v>
      </c>
      <c r="B46" s="3">
        <v>46236</v>
      </c>
      <c r="C46" t="str">
        <f t="shared" si="2"/>
        <v>Sunday</v>
      </c>
      <c r="D46">
        <f t="shared" si="3"/>
        <v>7</v>
      </c>
    </row>
    <row r="47" spans="1:4" x14ac:dyDescent="0.3">
      <c r="A47" t="s">
        <v>113</v>
      </c>
      <c r="B47" s="3">
        <v>46244</v>
      </c>
      <c r="C47" t="str">
        <f t="shared" si="2"/>
        <v>Monday</v>
      </c>
      <c r="D47">
        <f t="shared" si="3"/>
        <v>1</v>
      </c>
    </row>
    <row r="48" spans="1:4" x14ac:dyDescent="0.3">
      <c r="A48" t="s">
        <v>114</v>
      </c>
      <c r="B48" s="3">
        <v>46253</v>
      </c>
      <c r="C48" t="str">
        <f t="shared" si="2"/>
        <v>Wednesday</v>
      </c>
      <c r="D48">
        <f t="shared" si="3"/>
        <v>3</v>
      </c>
    </row>
    <row r="49" spans="1:4" x14ac:dyDescent="0.3">
      <c r="A49" t="s">
        <v>115</v>
      </c>
      <c r="B49" s="3">
        <v>46260</v>
      </c>
      <c r="C49" t="str">
        <f t="shared" si="2"/>
        <v>Wednesday</v>
      </c>
      <c r="D49">
        <f t="shared" si="3"/>
        <v>3</v>
      </c>
    </row>
    <row r="50" spans="1:4" x14ac:dyDescent="0.3">
      <c r="A50" t="s">
        <v>117</v>
      </c>
      <c r="B50" s="3">
        <v>46249</v>
      </c>
      <c r="C50" t="str">
        <f t="shared" si="2"/>
        <v>Saturday</v>
      </c>
      <c r="D50">
        <f t="shared" si="3"/>
        <v>6</v>
      </c>
    </row>
    <row r="51" spans="1:4" x14ac:dyDescent="0.3">
      <c r="A51" t="s">
        <v>119</v>
      </c>
      <c r="B51" s="3">
        <v>46243</v>
      </c>
      <c r="C51" t="str">
        <f t="shared" si="2"/>
        <v>Sunday</v>
      </c>
      <c r="D51">
        <f t="shared" si="3"/>
        <v>7</v>
      </c>
    </row>
    <row r="52" spans="1:4" x14ac:dyDescent="0.3">
      <c r="A52" t="s">
        <v>120</v>
      </c>
      <c r="B52" s="3">
        <v>46236</v>
      </c>
      <c r="C52" t="str">
        <f t="shared" si="2"/>
        <v>Sunday</v>
      </c>
      <c r="D52">
        <f t="shared" si="3"/>
        <v>7</v>
      </c>
    </row>
    <row r="53" spans="1:4" x14ac:dyDescent="0.3">
      <c r="A53" t="s">
        <v>121</v>
      </c>
      <c r="B53" s="3">
        <v>46253</v>
      </c>
      <c r="C53" t="str">
        <f t="shared" si="2"/>
        <v>Wednesday</v>
      </c>
      <c r="D53">
        <f t="shared" si="3"/>
        <v>3</v>
      </c>
    </row>
    <row r="54" spans="1:4" x14ac:dyDescent="0.3">
      <c r="A54" t="s">
        <v>122</v>
      </c>
      <c r="B54" s="3">
        <v>46252</v>
      </c>
      <c r="C54" t="str">
        <f t="shared" si="2"/>
        <v>Tuesday</v>
      </c>
      <c r="D54">
        <f t="shared" si="3"/>
        <v>2</v>
      </c>
    </row>
    <row r="55" spans="1:4" x14ac:dyDescent="0.3">
      <c r="A55" t="s">
        <v>123</v>
      </c>
      <c r="B55" s="3">
        <v>46238</v>
      </c>
      <c r="C55" t="str">
        <f t="shared" si="2"/>
        <v>Tuesday</v>
      </c>
      <c r="D55">
        <f t="shared" si="3"/>
        <v>2</v>
      </c>
    </row>
    <row r="56" spans="1:4" x14ac:dyDescent="0.3">
      <c r="A56" t="s">
        <v>124</v>
      </c>
      <c r="B56" s="3">
        <v>46240</v>
      </c>
      <c r="C56" t="str">
        <f t="shared" si="2"/>
        <v>Thursday</v>
      </c>
      <c r="D56">
        <f t="shared" si="3"/>
        <v>4</v>
      </c>
    </row>
    <row r="57" spans="1:4" x14ac:dyDescent="0.3">
      <c r="A57" t="s">
        <v>125</v>
      </c>
      <c r="B57" s="3">
        <v>46240</v>
      </c>
      <c r="C57" t="str">
        <f t="shared" si="2"/>
        <v>Thursday</v>
      </c>
      <c r="D57">
        <f t="shared" si="3"/>
        <v>4</v>
      </c>
    </row>
    <row r="58" spans="1:4" x14ac:dyDescent="0.3">
      <c r="A58" t="s">
        <v>126</v>
      </c>
      <c r="B58" s="3">
        <v>46257</v>
      </c>
      <c r="C58" t="str">
        <f t="shared" si="2"/>
        <v>Sunday</v>
      </c>
      <c r="D58">
        <f t="shared" si="3"/>
        <v>7</v>
      </c>
    </row>
    <row r="59" spans="1:4" x14ac:dyDescent="0.3">
      <c r="A59" t="s">
        <v>127</v>
      </c>
      <c r="B59" s="3">
        <v>46245</v>
      </c>
      <c r="C59" t="str">
        <f t="shared" si="2"/>
        <v>Tuesday</v>
      </c>
      <c r="D59">
        <f t="shared" si="3"/>
        <v>2</v>
      </c>
    </row>
    <row r="60" spans="1:4" x14ac:dyDescent="0.3">
      <c r="A60" t="s">
        <v>128</v>
      </c>
      <c r="B60" s="3">
        <v>46246</v>
      </c>
      <c r="C60" t="str">
        <f t="shared" si="2"/>
        <v>Wednesday</v>
      </c>
      <c r="D60">
        <f t="shared" si="3"/>
        <v>3</v>
      </c>
    </row>
    <row r="61" spans="1:4" x14ac:dyDescent="0.3">
      <c r="A61" t="s">
        <v>130</v>
      </c>
      <c r="B61" s="3">
        <v>46259</v>
      </c>
      <c r="C61" t="str">
        <f t="shared" si="2"/>
        <v>Tuesday</v>
      </c>
      <c r="D61">
        <f t="shared" si="3"/>
        <v>2</v>
      </c>
    </row>
    <row r="62" spans="1:4" x14ac:dyDescent="0.3">
      <c r="A62" t="s">
        <v>131</v>
      </c>
      <c r="B62" s="3">
        <v>46253</v>
      </c>
      <c r="C62" t="str">
        <f t="shared" si="2"/>
        <v>Wednesday</v>
      </c>
      <c r="D62">
        <f t="shared" si="3"/>
        <v>3</v>
      </c>
    </row>
    <row r="63" spans="1:4" x14ac:dyDescent="0.3">
      <c r="A63" t="s">
        <v>132</v>
      </c>
      <c r="B63" s="3">
        <v>46238</v>
      </c>
      <c r="C63" t="str">
        <f t="shared" si="2"/>
        <v>Tuesday</v>
      </c>
      <c r="D63">
        <f t="shared" si="3"/>
        <v>2</v>
      </c>
    </row>
    <row r="64" spans="1:4" x14ac:dyDescent="0.3">
      <c r="A64" t="s">
        <v>133</v>
      </c>
      <c r="B64" s="3">
        <v>46249</v>
      </c>
      <c r="C64" t="str">
        <f t="shared" si="2"/>
        <v>Saturday</v>
      </c>
      <c r="D64">
        <f t="shared" si="3"/>
        <v>6</v>
      </c>
    </row>
    <row r="65" spans="1:4" x14ac:dyDescent="0.3">
      <c r="A65" t="s">
        <v>134</v>
      </c>
      <c r="B65" s="3">
        <v>46241</v>
      </c>
      <c r="C65" t="str">
        <f t="shared" si="2"/>
        <v>Friday</v>
      </c>
      <c r="D65">
        <f t="shared" si="3"/>
        <v>5</v>
      </c>
    </row>
    <row r="66" spans="1:4" x14ac:dyDescent="0.3">
      <c r="A66" t="s">
        <v>135</v>
      </c>
      <c r="B66" s="3">
        <v>46236</v>
      </c>
      <c r="C66" t="str">
        <f t="shared" ref="C66:C97" si="4">TEXT(B66,"dddd")</f>
        <v>Sunday</v>
      </c>
      <c r="D66">
        <f t="shared" ref="D66:D101" si="5">WEEKDAY(B66,2)</f>
        <v>7</v>
      </c>
    </row>
    <row r="67" spans="1:4" x14ac:dyDescent="0.3">
      <c r="A67" t="s">
        <v>136</v>
      </c>
      <c r="B67" s="3">
        <v>46240</v>
      </c>
      <c r="C67" t="str">
        <f t="shared" si="4"/>
        <v>Thursday</v>
      </c>
      <c r="D67">
        <f t="shared" si="5"/>
        <v>4</v>
      </c>
    </row>
    <row r="68" spans="1:4" x14ac:dyDescent="0.3">
      <c r="A68" t="s">
        <v>137</v>
      </c>
      <c r="B68" s="3">
        <v>46259</v>
      </c>
      <c r="C68" t="str">
        <f t="shared" si="4"/>
        <v>Tuesday</v>
      </c>
      <c r="D68">
        <f t="shared" si="5"/>
        <v>2</v>
      </c>
    </row>
    <row r="69" spans="1:4" x14ac:dyDescent="0.3">
      <c r="A69" t="s">
        <v>138</v>
      </c>
      <c r="B69" s="3">
        <v>46244</v>
      </c>
      <c r="C69" t="str">
        <f t="shared" si="4"/>
        <v>Monday</v>
      </c>
      <c r="D69">
        <f t="shared" si="5"/>
        <v>1</v>
      </c>
    </row>
    <row r="70" spans="1:4" x14ac:dyDescent="0.3">
      <c r="A70" t="s">
        <v>139</v>
      </c>
      <c r="B70" s="3">
        <v>46248</v>
      </c>
      <c r="C70" t="str">
        <f t="shared" si="4"/>
        <v>Friday</v>
      </c>
      <c r="D70">
        <f t="shared" si="5"/>
        <v>5</v>
      </c>
    </row>
    <row r="71" spans="1:4" x14ac:dyDescent="0.3">
      <c r="A71" t="s">
        <v>140</v>
      </c>
      <c r="B71" s="3">
        <v>46260</v>
      </c>
      <c r="C71" t="str">
        <f t="shared" si="4"/>
        <v>Wednesday</v>
      </c>
      <c r="D71">
        <f t="shared" si="5"/>
        <v>3</v>
      </c>
    </row>
    <row r="72" spans="1:4" x14ac:dyDescent="0.3">
      <c r="A72" t="s">
        <v>141</v>
      </c>
      <c r="B72" s="3">
        <v>46241</v>
      </c>
      <c r="C72" t="str">
        <f t="shared" si="4"/>
        <v>Friday</v>
      </c>
      <c r="D72">
        <f t="shared" si="5"/>
        <v>5</v>
      </c>
    </row>
    <row r="73" spans="1:4" x14ac:dyDescent="0.3">
      <c r="A73" t="s">
        <v>142</v>
      </c>
      <c r="B73" s="3">
        <v>46252</v>
      </c>
      <c r="C73" t="str">
        <f t="shared" si="4"/>
        <v>Tuesday</v>
      </c>
      <c r="D73">
        <f t="shared" si="5"/>
        <v>2</v>
      </c>
    </row>
    <row r="74" spans="1:4" x14ac:dyDescent="0.3">
      <c r="A74" t="s">
        <v>143</v>
      </c>
      <c r="B74" s="3">
        <v>46240</v>
      </c>
      <c r="C74" t="str">
        <f t="shared" si="4"/>
        <v>Thursday</v>
      </c>
      <c r="D74">
        <f t="shared" si="5"/>
        <v>4</v>
      </c>
    </row>
    <row r="75" spans="1:4" x14ac:dyDescent="0.3">
      <c r="A75" t="s">
        <v>144</v>
      </c>
      <c r="B75" s="3">
        <v>46256</v>
      </c>
      <c r="C75" t="str">
        <f t="shared" si="4"/>
        <v>Saturday</v>
      </c>
      <c r="D75">
        <f t="shared" si="5"/>
        <v>6</v>
      </c>
    </row>
    <row r="76" spans="1:4" x14ac:dyDescent="0.3">
      <c r="A76" t="s">
        <v>146</v>
      </c>
      <c r="B76" s="3">
        <v>46239</v>
      </c>
      <c r="C76" t="str">
        <f t="shared" si="4"/>
        <v>Wednesday</v>
      </c>
      <c r="D76">
        <f t="shared" si="5"/>
        <v>3</v>
      </c>
    </row>
    <row r="77" spans="1:4" x14ac:dyDescent="0.3">
      <c r="A77" t="s">
        <v>147</v>
      </c>
      <c r="B77" s="3">
        <v>46254</v>
      </c>
      <c r="C77" t="str">
        <f t="shared" si="4"/>
        <v>Thursday</v>
      </c>
      <c r="D77">
        <f t="shared" si="5"/>
        <v>4</v>
      </c>
    </row>
    <row r="78" spans="1:4" x14ac:dyDescent="0.3">
      <c r="A78" t="s">
        <v>149</v>
      </c>
      <c r="B78" s="3">
        <v>46239</v>
      </c>
      <c r="C78" t="str">
        <f t="shared" si="4"/>
        <v>Wednesday</v>
      </c>
      <c r="D78">
        <f t="shared" si="5"/>
        <v>3</v>
      </c>
    </row>
    <row r="79" spans="1:4" x14ac:dyDescent="0.3">
      <c r="A79" t="s">
        <v>150</v>
      </c>
      <c r="B79" s="3">
        <v>46253</v>
      </c>
      <c r="C79" t="str">
        <f t="shared" si="4"/>
        <v>Wednesday</v>
      </c>
      <c r="D79">
        <f t="shared" si="5"/>
        <v>3</v>
      </c>
    </row>
    <row r="80" spans="1:4" x14ac:dyDescent="0.3">
      <c r="A80" t="s">
        <v>151</v>
      </c>
      <c r="B80" s="3">
        <v>46259</v>
      </c>
      <c r="C80" t="str">
        <f t="shared" si="4"/>
        <v>Tuesday</v>
      </c>
      <c r="D80">
        <f t="shared" si="5"/>
        <v>2</v>
      </c>
    </row>
    <row r="81" spans="1:4" x14ac:dyDescent="0.3">
      <c r="A81" t="s">
        <v>152</v>
      </c>
      <c r="B81" s="3">
        <v>46251</v>
      </c>
      <c r="C81" t="str">
        <f t="shared" si="4"/>
        <v>Monday</v>
      </c>
      <c r="D81">
        <f t="shared" si="5"/>
        <v>1</v>
      </c>
    </row>
    <row r="82" spans="1:4" x14ac:dyDescent="0.3">
      <c r="A82" t="s">
        <v>154</v>
      </c>
      <c r="B82" s="3">
        <v>46236</v>
      </c>
      <c r="C82" t="str">
        <f t="shared" si="4"/>
        <v>Sunday</v>
      </c>
      <c r="D82">
        <f t="shared" si="5"/>
        <v>7</v>
      </c>
    </row>
    <row r="83" spans="1:4" x14ac:dyDescent="0.3">
      <c r="A83" t="s">
        <v>155</v>
      </c>
      <c r="B83" s="3">
        <v>46251</v>
      </c>
      <c r="C83" t="str">
        <f t="shared" si="4"/>
        <v>Monday</v>
      </c>
      <c r="D83">
        <f t="shared" si="5"/>
        <v>1</v>
      </c>
    </row>
    <row r="84" spans="1:4" x14ac:dyDescent="0.3">
      <c r="A84" t="s">
        <v>156</v>
      </c>
      <c r="B84" s="3">
        <v>46256</v>
      </c>
      <c r="C84" t="str">
        <f t="shared" si="4"/>
        <v>Saturday</v>
      </c>
      <c r="D84">
        <f t="shared" si="5"/>
        <v>6</v>
      </c>
    </row>
    <row r="85" spans="1:4" x14ac:dyDescent="0.3">
      <c r="A85" t="s">
        <v>157</v>
      </c>
      <c r="B85" s="3">
        <v>46265</v>
      </c>
      <c r="C85" t="str">
        <f t="shared" si="4"/>
        <v>Monday</v>
      </c>
      <c r="D85">
        <f t="shared" si="5"/>
        <v>1</v>
      </c>
    </row>
    <row r="86" spans="1:4" x14ac:dyDescent="0.3">
      <c r="A86" t="s">
        <v>159</v>
      </c>
      <c r="B86" s="3">
        <v>46238</v>
      </c>
      <c r="C86" t="str">
        <f t="shared" si="4"/>
        <v>Tuesday</v>
      </c>
      <c r="D86">
        <f t="shared" si="5"/>
        <v>2</v>
      </c>
    </row>
    <row r="87" spans="1:4" x14ac:dyDescent="0.3">
      <c r="A87" t="s">
        <v>160</v>
      </c>
      <c r="B87" s="3">
        <v>46242</v>
      </c>
      <c r="C87" t="str">
        <f t="shared" si="4"/>
        <v>Saturday</v>
      </c>
      <c r="D87">
        <f t="shared" si="5"/>
        <v>6</v>
      </c>
    </row>
    <row r="88" spans="1:4" x14ac:dyDescent="0.3">
      <c r="A88" t="s">
        <v>161</v>
      </c>
      <c r="B88" s="3">
        <v>46245</v>
      </c>
      <c r="C88" t="str">
        <f t="shared" si="4"/>
        <v>Tuesday</v>
      </c>
      <c r="D88">
        <f t="shared" si="5"/>
        <v>2</v>
      </c>
    </row>
    <row r="89" spans="1:4" x14ac:dyDescent="0.3">
      <c r="A89" t="s">
        <v>162</v>
      </c>
      <c r="B89" s="3">
        <v>46243</v>
      </c>
      <c r="C89" t="str">
        <f t="shared" si="4"/>
        <v>Sunday</v>
      </c>
      <c r="D89">
        <f t="shared" si="5"/>
        <v>7</v>
      </c>
    </row>
    <row r="90" spans="1:4" x14ac:dyDescent="0.3">
      <c r="A90" t="s">
        <v>163</v>
      </c>
      <c r="B90" s="3">
        <v>46252</v>
      </c>
      <c r="C90" t="str">
        <f t="shared" si="4"/>
        <v>Tuesday</v>
      </c>
      <c r="D90">
        <f t="shared" si="5"/>
        <v>2</v>
      </c>
    </row>
    <row r="91" spans="1:4" x14ac:dyDescent="0.3">
      <c r="A91" t="s">
        <v>164</v>
      </c>
      <c r="B91" s="3">
        <v>46257</v>
      </c>
      <c r="C91" t="str">
        <f t="shared" si="4"/>
        <v>Sunday</v>
      </c>
      <c r="D91">
        <f t="shared" si="5"/>
        <v>7</v>
      </c>
    </row>
    <row r="92" spans="1:4" x14ac:dyDescent="0.3">
      <c r="A92" t="s">
        <v>165</v>
      </c>
      <c r="B92" s="3">
        <v>46251</v>
      </c>
      <c r="C92" t="str">
        <f t="shared" si="4"/>
        <v>Monday</v>
      </c>
      <c r="D92">
        <f t="shared" si="5"/>
        <v>1</v>
      </c>
    </row>
    <row r="93" spans="1:4" x14ac:dyDescent="0.3">
      <c r="A93" t="s">
        <v>166</v>
      </c>
      <c r="B93" s="3">
        <v>46244</v>
      </c>
      <c r="C93" t="str">
        <f t="shared" si="4"/>
        <v>Monday</v>
      </c>
      <c r="D93">
        <f t="shared" si="5"/>
        <v>1</v>
      </c>
    </row>
    <row r="94" spans="1:4" x14ac:dyDescent="0.3">
      <c r="A94" t="s">
        <v>167</v>
      </c>
      <c r="B94" s="3">
        <v>46249</v>
      </c>
      <c r="C94" t="str">
        <f t="shared" si="4"/>
        <v>Saturday</v>
      </c>
      <c r="D94">
        <f t="shared" si="5"/>
        <v>6</v>
      </c>
    </row>
    <row r="95" spans="1:4" x14ac:dyDescent="0.3">
      <c r="A95" t="s">
        <v>168</v>
      </c>
      <c r="B95" s="3">
        <v>46263</v>
      </c>
      <c r="C95" t="str">
        <f t="shared" si="4"/>
        <v>Saturday</v>
      </c>
      <c r="D95">
        <f t="shared" si="5"/>
        <v>6</v>
      </c>
    </row>
    <row r="96" spans="1:4" x14ac:dyDescent="0.3">
      <c r="A96" t="s">
        <v>170</v>
      </c>
      <c r="B96" s="3">
        <v>46258</v>
      </c>
      <c r="C96" t="str">
        <f t="shared" si="4"/>
        <v>Monday</v>
      </c>
      <c r="D96">
        <f t="shared" si="5"/>
        <v>1</v>
      </c>
    </row>
    <row r="97" spans="1:4" x14ac:dyDescent="0.3">
      <c r="A97" t="s">
        <v>172</v>
      </c>
      <c r="B97" s="3">
        <v>46262</v>
      </c>
      <c r="C97" t="str">
        <f t="shared" si="4"/>
        <v>Friday</v>
      </c>
      <c r="D97">
        <f t="shared" si="5"/>
        <v>5</v>
      </c>
    </row>
    <row r="98" spans="1:4" x14ac:dyDescent="0.3">
      <c r="A98" t="s">
        <v>173</v>
      </c>
      <c r="B98" s="3">
        <v>46240</v>
      </c>
      <c r="C98" t="str">
        <f t="shared" ref="C98:C129" si="6">TEXT(B98,"dddd")</f>
        <v>Thursday</v>
      </c>
      <c r="D98">
        <f t="shared" si="5"/>
        <v>4</v>
      </c>
    </row>
    <row r="99" spans="1:4" x14ac:dyDescent="0.3">
      <c r="A99" t="s">
        <v>174</v>
      </c>
      <c r="B99" s="3">
        <v>46237</v>
      </c>
      <c r="C99" t="str">
        <f t="shared" si="6"/>
        <v>Monday</v>
      </c>
      <c r="D99">
        <f t="shared" si="5"/>
        <v>1</v>
      </c>
    </row>
    <row r="100" spans="1:4" x14ac:dyDescent="0.3">
      <c r="A100" t="s">
        <v>176</v>
      </c>
      <c r="B100" s="3">
        <v>46256</v>
      </c>
      <c r="C100" t="str">
        <f t="shared" si="6"/>
        <v>Saturday</v>
      </c>
      <c r="D100">
        <f t="shared" si="5"/>
        <v>6</v>
      </c>
    </row>
    <row r="101" spans="1:4" x14ac:dyDescent="0.3">
      <c r="A101" t="s">
        <v>177</v>
      </c>
      <c r="B101" s="3">
        <v>46253</v>
      </c>
      <c r="C101" t="str">
        <f t="shared" si="6"/>
        <v>Wednesday</v>
      </c>
      <c r="D101">
        <f t="shared" si="5"/>
        <v>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election activeCell="C1" sqref="A1:C1"/>
    </sheetView>
  </sheetViews>
  <sheetFormatPr defaultRowHeight="14.4" x14ac:dyDescent="0.3"/>
  <cols>
    <col min="1" max="1" width="13" customWidth="1"/>
    <col min="2" max="3" width="35" customWidth="1"/>
  </cols>
  <sheetData>
    <row r="1" spans="1:3" x14ac:dyDescent="0.3">
      <c r="A1" s="9" t="s">
        <v>28</v>
      </c>
      <c r="B1" s="9" t="s">
        <v>193</v>
      </c>
      <c r="C1" s="9" t="s">
        <v>194</v>
      </c>
    </row>
    <row r="2" spans="1:3" x14ac:dyDescent="0.3">
      <c r="A2" t="s">
        <v>53</v>
      </c>
      <c r="B2">
        <f>COUNTIF('01B_Cleaned_Orders'!$C$2:$C$101,A2)</f>
        <v>26</v>
      </c>
      <c r="C2" s="4">
        <f>SUMIF('01B_Cleaned_Orders'!$C$2:$C$101,A2,'01B_Cleaned_Orders'!$G$2:$G$101)</f>
        <v>4619.6299999999992</v>
      </c>
    </row>
    <row r="3" spans="1:3" x14ac:dyDescent="0.3">
      <c r="A3" t="s">
        <v>35</v>
      </c>
      <c r="B3">
        <f>COUNTIF('01B_Cleaned_Orders'!$C$2:$C$101,A3)</f>
        <v>19</v>
      </c>
      <c r="C3" s="4">
        <f>SUMIF('01B_Cleaned_Orders'!$C$2:$C$101,A3,'01B_Cleaned_Orders'!$G$2:$G$101)</f>
        <v>3949.47</v>
      </c>
    </row>
    <row r="4" spans="1:3" x14ac:dyDescent="0.3">
      <c r="A4" t="s">
        <v>63</v>
      </c>
      <c r="B4">
        <f>COUNTIF('01B_Cleaned_Orders'!$C$2:$C$101,A4)</f>
        <v>19</v>
      </c>
      <c r="C4" s="4">
        <f>SUMIF('01B_Cleaned_Orders'!$C$2:$C$101,A4,'01B_Cleaned_Orders'!$G$2:$G$101)</f>
        <v>3563.16</v>
      </c>
    </row>
    <row r="5" spans="1:3" x14ac:dyDescent="0.3">
      <c r="A5" t="s">
        <v>42</v>
      </c>
      <c r="B5">
        <f>COUNTIF('01B_Cleaned_Orders'!$C$2:$C$101,A5)</f>
        <v>21</v>
      </c>
      <c r="C5" s="4">
        <f>SUMIF('01B_Cleaned_Orders'!$C$2:$C$101,A5,'01B_Cleaned_Orders'!$G$2:$G$101)</f>
        <v>4819.3600000000015</v>
      </c>
    </row>
    <row r="6" spans="1:3" x14ac:dyDescent="0.3">
      <c r="A6" t="s">
        <v>48</v>
      </c>
      <c r="B6">
        <f>COUNTIF('01B_Cleaned_Orders'!$C$2:$C$101,A6)</f>
        <v>15</v>
      </c>
      <c r="C6" s="4">
        <f>SUMIF('01B_Cleaned_Orders'!$C$2:$C$101,A6,'01B_Cleaned_Orders'!$G$2:$G$101)</f>
        <v>2948.0299999999997</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
  <sheetViews>
    <sheetView workbookViewId="0">
      <selection activeCell="E3" sqref="D3:E3"/>
    </sheetView>
  </sheetViews>
  <sheetFormatPr defaultRowHeight="14.4" x14ac:dyDescent="0.3"/>
  <cols>
    <col min="1" max="2" width="35" customWidth="1"/>
    <col min="3" max="3" width="10" customWidth="1"/>
    <col min="4" max="4" width="19" customWidth="1"/>
    <col min="5" max="5" width="35" customWidth="1"/>
    <col min="6" max="6" width="10" customWidth="1"/>
    <col min="7" max="7" width="35" customWidth="1"/>
  </cols>
  <sheetData>
    <row r="1" spans="1:7" ht="23.4" x14ac:dyDescent="0.45">
      <c r="A1" s="5" t="s">
        <v>195</v>
      </c>
    </row>
    <row r="3" spans="1:7" x14ac:dyDescent="0.3">
      <c r="A3" s="10" t="s">
        <v>196</v>
      </c>
      <c r="B3" s="10" t="s">
        <v>197</v>
      </c>
      <c r="D3" s="10" t="s">
        <v>198</v>
      </c>
      <c r="E3" s="10" t="s">
        <v>199</v>
      </c>
      <c r="G3" t="s">
        <v>200</v>
      </c>
    </row>
    <row r="4" spans="1:7" x14ac:dyDescent="0.3">
      <c r="A4" t="s">
        <v>193</v>
      </c>
      <c r="B4">
        <f>COUNTA('01B_Cleaned_Orders'!A2:A104)</f>
        <v>100</v>
      </c>
      <c r="D4" t="s">
        <v>181</v>
      </c>
      <c r="E4">
        <f ca="1">COUNTIF('03_XLOOKUP_Result'!$I$2:$I$104,D4)</f>
        <v>0</v>
      </c>
      <c r="G4" t="s">
        <v>201</v>
      </c>
    </row>
    <row r="5" spans="1:7" x14ac:dyDescent="0.3">
      <c r="A5" t="s">
        <v>202</v>
      </c>
      <c r="B5">
        <f>AVERAGE('01B_Cleaned_Orders'!F2:F104)</f>
        <v>35.950000000000003</v>
      </c>
      <c r="D5" t="s">
        <v>182</v>
      </c>
      <c r="E5">
        <f ca="1">COUNTIF('03_XLOOKUP_Result'!$I$2:$I$104,D5)</f>
        <v>0</v>
      </c>
      <c r="G5" t="s">
        <v>203</v>
      </c>
    </row>
    <row r="6" spans="1:7" x14ac:dyDescent="0.3">
      <c r="A6" t="s">
        <v>194</v>
      </c>
      <c r="B6">
        <f>SUM('01B_Cleaned_Orders'!G2:G104)</f>
        <v>19899.650000000005</v>
      </c>
      <c r="D6" t="s">
        <v>183</v>
      </c>
      <c r="E6">
        <f ca="1">COUNTIF('03_XLOOKUP_Result'!$I$2:$I$104,D6)</f>
        <v>0</v>
      </c>
      <c r="G6" t="s">
        <v>204</v>
      </c>
    </row>
    <row r="9" spans="1:7" x14ac:dyDescent="0.3">
      <c r="A9" t="s">
        <v>205</v>
      </c>
    </row>
    <row r="10" spans="1:7" x14ac:dyDescent="0.3">
      <c r="A10" s="6" t="s">
        <v>206</v>
      </c>
      <c r="B10" s="7"/>
      <c r="C10" s="7"/>
      <c r="D10" s="7"/>
      <c r="E10" s="7"/>
      <c r="F10" s="7"/>
    </row>
    <row r="11" spans="1:7" x14ac:dyDescent="0.3">
      <c r="A11" s="7"/>
      <c r="B11" s="7"/>
      <c r="C11" s="7"/>
      <c r="D11" s="7"/>
      <c r="E11" s="7"/>
      <c r="F11" s="7"/>
    </row>
  </sheetData>
  <mergeCells count="1">
    <mergeCell ref="A10:F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selection activeCell="C1" sqref="A1:C1"/>
    </sheetView>
  </sheetViews>
  <sheetFormatPr defaultRowHeight="14.4" x14ac:dyDescent="0.3"/>
  <cols>
    <col min="1" max="1" width="10" customWidth="1"/>
    <col min="2" max="3" width="35" customWidth="1"/>
  </cols>
  <sheetData>
    <row r="1" spans="1:3" x14ac:dyDescent="0.3">
      <c r="A1" s="9" t="s">
        <v>207</v>
      </c>
      <c r="B1" s="9" t="s">
        <v>208</v>
      </c>
      <c r="C1" s="9" t="s">
        <v>209</v>
      </c>
    </row>
    <row r="2" spans="1:3" x14ac:dyDescent="0.3">
      <c r="A2" t="s">
        <v>2</v>
      </c>
      <c r="B2" t="s">
        <v>210</v>
      </c>
      <c r="C2" t="s">
        <v>211</v>
      </c>
    </row>
    <row r="3" spans="1:3" x14ac:dyDescent="0.3">
      <c r="A3" t="s">
        <v>4</v>
      </c>
      <c r="B3" t="s">
        <v>212</v>
      </c>
      <c r="C3" t="s">
        <v>213</v>
      </c>
    </row>
    <row r="4" spans="1:3" x14ac:dyDescent="0.3">
      <c r="A4" t="s">
        <v>6</v>
      </c>
      <c r="B4" t="s">
        <v>214</v>
      </c>
      <c r="C4" t="s">
        <v>215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1"/>
  <sheetViews>
    <sheetView workbookViewId="0">
      <selection activeCell="D1" sqref="A1:D1"/>
    </sheetView>
  </sheetViews>
  <sheetFormatPr defaultRowHeight="14.4" x14ac:dyDescent="0.3"/>
  <cols>
    <col min="1" max="1" width="10" customWidth="1"/>
    <col min="2" max="2" width="17" customWidth="1"/>
    <col min="3" max="3" width="10" customWidth="1"/>
    <col min="4" max="4" width="11" customWidth="1"/>
  </cols>
  <sheetData>
    <row r="1" spans="1:4" x14ac:dyDescent="0.3">
      <c r="A1" s="9" t="s">
        <v>26</v>
      </c>
      <c r="B1" s="9" t="s">
        <v>216</v>
      </c>
      <c r="C1" s="9" t="s">
        <v>217</v>
      </c>
      <c r="D1" s="9" t="s">
        <v>33</v>
      </c>
    </row>
    <row r="2" spans="1:4" x14ac:dyDescent="0.3">
      <c r="A2" t="s">
        <v>218</v>
      </c>
      <c r="B2" t="s">
        <v>181</v>
      </c>
      <c r="C2">
        <v>250</v>
      </c>
      <c r="D2" t="s">
        <v>37</v>
      </c>
    </row>
    <row r="3" spans="1:4" x14ac:dyDescent="0.3">
      <c r="A3" t="s">
        <v>219</v>
      </c>
      <c r="B3" t="s">
        <v>182</v>
      </c>
      <c r="C3">
        <v>180</v>
      </c>
      <c r="D3" t="s">
        <v>37</v>
      </c>
    </row>
    <row r="4" spans="1:4" x14ac:dyDescent="0.3">
      <c r="A4" t="s">
        <v>220</v>
      </c>
      <c r="B4" t="s">
        <v>185</v>
      </c>
      <c r="C4">
        <v>420</v>
      </c>
      <c r="D4" t="s">
        <v>55</v>
      </c>
    </row>
    <row r="5" spans="1:4" x14ac:dyDescent="0.3">
      <c r="A5" t="s">
        <v>221</v>
      </c>
      <c r="B5" t="s">
        <v>186</v>
      </c>
      <c r="C5">
        <v>150</v>
      </c>
      <c r="D5" t="s">
        <v>37</v>
      </c>
    </row>
    <row r="6" spans="1:4" x14ac:dyDescent="0.3">
      <c r="A6" t="s">
        <v>222</v>
      </c>
      <c r="B6" t="s">
        <v>187</v>
      </c>
      <c r="C6">
        <v>320</v>
      </c>
      <c r="D6" t="s">
        <v>37</v>
      </c>
    </row>
    <row r="7" spans="1:4" x14ac:dyDescent="0.3">
      <c r="A7" t="s">
        <v>223</v>
      </c>
      <c r="B7" t="s">
        <v>184</v>
      </c>
      <c r="C7">
        <v>275</v>
      </c>
      <c r="D7" t="s">
        <v>37</v>
      </c>
    </row>
    <row r="8" spans="1:4" x14ac:dyDescent="0.3">
      <c r="A8" t="s">
        <v>224</v>
      </c>
      <c r="B8" t="s">
        <v>190</v>
      </c>
      <c r="C8">
        <v>199</v>
      </c>
      <c r="D8" t="s">
        <v>37</v>
      </c>
    </row>
    <row r="9" spans="1:4" x14ac:dyDescent="0.3">
      <c r="A9" t="s">
        <v>225</v>
      </c>
      <c r="B9" t="s">
        <v>183</v>
      </c>
      <c r="C9">
        <v>350</v>
      </c>
      <c r="D9" t="s">
        <v>55</v>
      </c>
    </row>
    <row r="10" spans="1:4" x14ac:dyDescent="0.3">
      <c r="A10" t="s">
        <v>226</v>
      </c>
      <c r="B10" t="s">
        <v>189</v>
      </c>
      <c r="C10">
        <v>120</v>
      </c>
      <c r="D10" t="s">
        <v>37</v>
      </c>
    </row>
    <row r="11" spans="1:4" x14ac:dyDescent="0.3">
      <c r="A11" t="s">
        <v>227</v>
      </c>
      <c r="B11" t="s">
        <v>188</v>
      </c>
      <c r="C11">
        <v>290</v>
      </c>
      <c r="D11" t="s">
        <v>37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workbookViewId="0"/>
  </sheetViews>
  <sheetFormatPr defaultRowHeight="14.4" x14ac:dyDescent="0.3"/>
  <cols>
    <col min="1" max="1" width="15" customWidth="1"/>
    <col min="2" max="2" width="10" customWidth="1"/>
    <col min="3" max="3" width="35" customWidth="1"/>
  </cols>
  <sheetData>
    <row r="1" spans="1:3" x14ac:dyDescent="0.3">
      <c r="A1" s="9" t="s">
        <v>228</v>
      </c>
      <c r="C1" t="s">
        <v>229</v>
      </c>
    </row>
    <row r="2" spans="1:3" x14ac:dyDescent="0.3">
      <c r="A2" t="s">
        <v>230</v>
      </c>
    </row>
    <row r="3" spans="1:3" x14ac:dyDescent="0.3">
      <c r="A3" t="s">
        <v>70</v>
      </c>
    </row>
    <row r="4" spans="1:3" x14ac:dyDescent="0.3">
      <c r="A4" t="s">
        <v>40</v>
      </c>
    </row>
    <row r="6" spans="1:3" x14ac:dyDescent="0.3">
      <c r="A6" t="s">
        <v>231</v>
      </c>
    </row>
    <row r="7" spans="1:3" x14ac:dyDescent="0.3">
      <c r="A7" t="s">
        <v>50</v>
      </c>
    </row>
    <row r="8" spans="1:3" x14ac:dyDescent="0.3">
      <c r="A8" t="s">
        <v>232</v>
      </c>
    </row>
    <row r="10" spans="1:3" x14ac:dyDescent="0.3">
      <c r="A10" t="s">
        <v>233</v>
      </c>
    </row>
    <row r="11" spans="1:3" x14ac:dyDescent="0.3">
      <c r="A11" t="s">
        <v>234</v>
      </c>
    </row>
    <row r="12" spans="1:3" x14ac:dyDescent="0.3">
      <c r="A12" t="s">
        <v>235</v>
      </c>
    </row>
    <row r="13" spans="1:3" x14ac:dyDescent="0.3">
      <c r="A13" t="s">
        <v>46</v>
      </c>
    </row>
    <row r="14" spans="1:3" x14ac:dyDescent="0.3">
      <c r="A14" t="s">
        <v>236</v>
      </c>
    </row>
    <row r="15" spans="1:3" x14ac:dyDescent="0.3">
      <c r="A15" t="s">
        <v>58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workbookViewId="0">
      <selection activeCell="B1" sqref="A1:B1"/>
    </sheetView>
  </sheetViews>
  <sheetFormatPr defaultRowHeight="14.4" x14ac:dyDescent="0.3"/>
  <cols>
    <col min="1" max="1" width="10" customWidth="1"/>
    <col min="2" max="2" width="100" customWidth="1"/>
  </cols>
  <sheetData>
    <row r="1" spans="1:2" x14ac:dyDescent="0.3">
      <c r="A1" s="9" t="s">
        <v>207</v>
      </c>
      <c r="B1" s="9" t="s">
        <v>237</v>
      </c>
    </row>
    <row r="2" spans="1:2" ht="43.2" x14ac:dyDescent="0.3">
      <c r="A2" t="s">
        <v>2</v>
      </c>
      <c r="B2" s="2" t="s">
        <v>238</v>
      </c>
    </row>
    <row r="3" spans="1:2" ht="158.4" x14ac:dyDescent="0.3">
      <c r="A3" t="s">
        <v>4</v>
      </c>
      <c r="B3" s="2" t="s">
        <v>239</v>
      </c>
    </row>
    <row r="4" spans="1:2" ht="158.4" x14ac:dyDescent="0.3">
      <c r="A4" t="s">
        <v>6</v>
      </c>
      <c r="B4" s="2" t="s">
        <v>240</v>
      </c>
    </row>
    <row r="5" spans="1:2" ht="86.4" x14ac:dyDescent="0.3">
      <c r="A5" t="s">
        <v>8</v>
      </c>
      <c r="B5" s="2" t="s">
        <v>241</v>
      </c>
    </row>
    <row r="6" spans="1:2" ht="129.6" x14ac:dyDescent="0.3">
      <c r="A6" t="s">
        <v>10</v>
      </c>
      <c r="B6" s="2" t="s">
        <v>242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5"/>
  <sheetViews>
    <sheetView workbookViewId="0">
      <selection activeCell="B1" sqref="A1:B1"/>
    </sheetView>
  </sheetViews>
  <sheetFormatPr defaultRowHeight="14.4" x14ac:dyDescent="0.3"/>
  <cols>
    <col min="2" max="2" width="100" customWidth="1"/>
  </cols>
  <sheetData>
    <row r="1" spans="1:2" x14ac:dyDescent="0.3">
      <c r="A1" s="9" t="s">
        <v>207</v>
      </c>
      <c r="B1" s="9" t="s">
        <v>243</v>
      </c>
    </row>
    <row r="2" spans="1:2" x14ac:dyDescent="0.3">
      <c r="A2" t="s">
        <v>244</v>
      </c>
      <c r="B2" s="2" t="s">
        <v>245</v>
      </c>
    </row>
    <row r="3" spans="1:2" x14ac:dyDescent="0.3">
      <c r="A3" t="s">
        <v>244</v>
      </c>
      <c r="B3" s="2" t="s">
        <v>246</v>
      </c>
    </row>
    <row r="4" spans="1:2" ht="43.2" x14ac:dyDescent="0.3">
      <c r="A4" t="s">
        <v>244</v>
      </c>
      <c r="B4" s="2" t="s">
        <v>247</v>
      </c>
    </row>
    <row r="5" spans="1:2" x14ac:dyDescent="0.3">
      <c r="A5" t="s">
        <v>244</v>
      </c>
      <c r="B5" s="2" t="s">
        <v>248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6"/>
  <sheetViews>
    <sheetView workbookViewId="0">
      <selection activeCell="F1" sqref="A1:F1"/>
    </sheetView>
  </sheetViews>
  <sheetFormatPr defaultRowHeight="14.4" x14ac:dyDescent="0.3"/>
  <cols>
    <col min="1" max="6" width="10" customWidth="1"/>
  </cols>
  <sheetData>
    <row r="1" spans="1:6" x14ac:dyDescent="0.3">
      <c r="A1" s="9" t="s">
        <v>249</v>
      </c>
      <c r="B1" s="9" t="s">
        <v>250</v>
      </c>
      <c r="C1" s="9" t="s">
        <v>251</v>
      </c>
      <c r="D1" s="9" t="s">
        <v>252</v>
      </c>
      <c r="E1" s="9" t="s">
        <v>253</v>
      </c>
      <c r="F1" s="9" t="s">
        <v>254</v>
      </c>
    </row>
    <row r="2" spans="1:6" x14ac:dyDescent="0.3">
      <c r="A2" t="s">
        <v>255</v>
      </c>
      <c r="B2" t="s">
        <v>256</v>
      </c>
      <c r="C2" t="s">
        <v>257</v>
      </c>
      <c r="D2" t="s">
        <v>256</v>
      </c>
      <c r="E2">
        <v>198</v>
      </c>
      <c r="F2">
        <v>185</v>
      </c>
    </row>
    <row r="3" spans="1:6" x14ac:dyDescent="0.3">
      <c r="A3" t="s">
        <v>258</v>
      </c>
      <c r="B3" t="s">
        <v>259</v>
      </c>
      <c r="C3" t="s">
        <v>260</v>
      </c>
      <c r="D3" t="s">
        <v>260</v>
      </c>
      <c r="E3">
        <v>172</v>
      </c>
      <c r="F3">
        <v>176</v>
      </c>
    </row>
    <row r="4" spans="1:6" x14ac:dyDescent="0.3">
      <c r="A4" t="s">
        <v>261</v>
      </c>
      <c r="B4" t="s">
        <v>256</v>
      </c>
      <c r="C4" t="s">
        <v>262</v>
      </c>
      <c r="D4" t="s">
        <v>256</v>
      </c>
      <c r="E4">
        <v>201</v>
      </c>
      <c r="F4">
        <v>190</v>
      </c>
    </row>
    <row r="5" spans="1:6" x14ac:dyDescent="0.3">
      <c r="A5" t="s">
        <v>263</v>
      </c>
      <c r="B5" t="s">
        <v>257</v>
      </c>
      <c r="C5" t="s">
        <v>264</v>
      </c>
      <c r="D5" t="s">
        <v>264</v>
      </c>
      <c r="E5">
        <v>165</v>
      </c>
      <c r="F5">
        <v>170</v>
      </c>
    </row>
    <row r="6" spans="1:6" x14ac:dyDescent="0.3">
      <c r="A6" t="s">
        <v>265</v>
      </c>
      <c r="B6" t="s">
        <v>259</v>
      </c>
      <c r="C6" t="s">
        <v>256</v>
      </c>
      <c r="D6" t="s">
        <v>259</v>
      </c>
      <c r="E6">
        <v>188</v>
      </c>
      <c r="F6">
        <v>182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6"/>
  <sheetViews>
    <sheetView topLeftCell="J1" workbookViewId="0">
      <selection activeCell="C1" sqref="A1:C1"/>
    </sheetView>
  </sheetViews>
  <sheetFormatPr defaultRowHeight="14.4" x14ac:dyDescent="0.3"/>
  <cols>
    <col min="1" max="1" width="18" customWidth="1"/>
    <col min="2" max="2" width="17" customWidth="1"/>
    <col min="3" max="3" width="15" customWidth="1"/>
  </cols>
  <sheetData>
    <row r="1" spans="1:3" x14ac:dyDescent="0.3">
      <c r="A1" s="9" t="s">
        <v>266</v>
      </c>
      <c r="B1" s="9" t="s">
        <v>267</v>
      </c>
      <c r="C1" s="9" t="s">
        <v>268</v>
      </c>
    </row>
    <row r="2" spans="1:3" x14ac:dyDescent="0.3">
      <c r="A2" t="s">
        <v>269</v>
      </c>
      <c r="B2" t="s">
        <v>270</v>
      </c>
      <c r="C2" t="s">
        <v>271</v>
      </c>
    </row>
    <row r="3" spans="1:3" x14ac:dyDescent="0.3">
      <c r="A3" t="s">
        <v>272</v>
      </c>
      <c r="B3" t="s">
        <v>273</v>
      </c>
      <c r="C3" t="s">
        <v>274</v>
      </c>
    </row>
    <row r="4" spans="1:3" x14ac:dyDescent="0.3">
      <c r="A4" t="s">
        <v>275</v>
      </c>
      <c r="B4" t="s">
        <v>276</v>
      </c>
      <c r="C4" t="s">
        <v>274</v>
      </c>
    </row>
    <row r="5" spans="1:3" x14ac:dyDescent="0.3">
      <c r="A5" t="s">
        <v>277</v>
      </c>
      <c r="B5" t="s">
        <v>278</v>
      </c>
      <c r="C5" t="s">
        <v>279</v>
      </c>
    </row>
    <row r="6" spans="1:3" x14ac:dyDescent="0.3">
      <c r="A6" t="s">
        <v>280</v>
      </c>
      <c r="B6" t="s">
        <v>270</v>
      </c>
      <c r="C6" t="s">
        <v>281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1"/>
  <sheetViews>
    <sheetView workbookViewId="0">
      <selection activeCell="F1" sqref="A1:F1"/>
    </sheetView>
  </sheetViews>
  <sheetFormatPr defaultRowHeight="14.4" x14ac:dyDescent="0.3"/>
  <cols>
    <col min="1" max="1" width="10" customWidth="1"/>
    <col min="2" max="2" width="12" customWidth="1"/>
    <col min="3" max="4" width="13" customWidth="1"/>
    <col min="5" max="6" width="10" customWidth="1"/>
  </cols>
  <sheetData>
    <row r="1" spans="1:8" x14ac:dyDescent="0.3">
      <c r="A1" s="9" t="s">
        <v>26</v>
      </c>
      <c r="B1" s="9" t="s">
        <v>282</v>
      </c>
      <c r="C1" s="9" t="s">
        <v>283</v>
      </c>
      <c r="D1" s="9" t="s">
        <v>28</v>
      </c>
      <c r="E1" s="9" t="s">
        <v>284</v>
      </c>
      <c r="F1" s="9" t="s">
        <v>285</v>
      </c>
      <c r="H1" t="s">
        <v>286</v>
      </c>
    </row>
    <row r="2" spans="1:8" x14ac:dyDescent="0.3">
      <c r="A2" t="s">
        <v>287</v>
      </c>
      <c r="B2" t="s">
        <v>288</v>
      </c>
      <c r="C2" t="s">
        <v>289</v>
      </c>
      <c r="D2" t="s">
        <v>53</v>
      </c>
      <c r="E2">
        <v>48908</v>
      </c>
      <c r="F2">
        <v>1</v>
      </c>
      <c r="H2" t="s">
        <v>290</v>
      </c>
    </row>
    <row r="3" spans="1:8" x14ac:dyDescent="0.3">
      <c r="A3" t="s">
        <v>291</v>
      </c>
      <c r="B3" t="s">
        <v>292</v>
      </c>
      <c r="C3" t="s">
        <v>289</v>
      </c>
      <c r="D3" t="s">
        <v>48</v>
      </c>
      <c r="E3">
        <v>34313</v>
      </c>
      <c r="F3">
        <v>2</v>
      </c>
      <c r="H3" t="s">
        <v>293</v>
      </c>
    </row>
    <row r="4" spans="1:8" x14ac:dyDescent="0.3">
      <c r="A4" t="s">
        <v>294</v>
      </c>
      <c r="B4" t="s">
        <v>295</v>
      </c>
      <c r="C4" t="s">
        <v>289</v>
      </c>
      <c r="D4" t="s">
        <v>53</v>
      </c>
      <c r="E4">
        <v>38313</v>
      </c>
      <c r="F4">
        <v>2</v>
      </c>
    </row>
    <row r="5" spans="1:8" x14ac:dyDescent="0.3">
      <c r="A5" t="s">
        <v>296</v>
      </c>
      <c r="B5" t="s">
        <v>288</v>
      </c>
      <c r="C5" t="s">
        <v>297</v>
      </c>
      <c r="D5" t="s">
        <v>35</v>
      </c>
      <c r="E5">
        <v>18168</v>
      </c>
      <c r="F5">
        <v>4</v>
      </c>
    </row>
    <row r="6" spans="1:8" x14ac:dyDescent="0.3">
      <c r="A6" t="s">
        <v>298</v>
      </c>
      <c r="B6" t="s">
        <v>288</v>
      </c>
      <c r="C6" t="s">
        <v>289</v>
      </c>
      <c r="D6" t="s">
        <v>48</v>
      </c>
      <c r="E6">
        <v>27263</v>
      </c>
      <c r="F6">
        <v>3</v>
      </c>
    </row>
    <row r="7" spans="1:8" x14ac:dyDescent="0.3">
      <c r="A7" t="s">
        <v>299</v>
      </c>
      <c r="B7" t="s">
        <v>300</v>
      </c>
      <c r="C7" t="s">
        <v>289</v>
      </c>
      <c r="D7" t="s">
        <v>63</v>
      </c>
      <c r="E7">
        <v>24021</v>
      </c>
      <c r="F7">
        <v>5</v>
      </c>
    </row>
    <row r="8" spans="1:8" x14ac:dyDescent="0.3">
      <c r="A8" t="s">
        <v>301</v>
      </c>
      <c r="B8" t="s">
        <v>300</v>
      </c>
      <c r="C8" t="s">
        <v>297</v>
      </c>
      <c r="D8" t="s">
        <v>35</v>
      </c>
      <c r="E8">
        <v>20881</v>
      </c>
      <c r="F8">
        <v>2</v>
      </c>
    </row>
    <row r="9" spans="1:8" x14ac:dyDescent="0.3">
      <c r="A9" t="s">
        <v>302</v>
      </c>
      <c r="B9" t="s">
        <v>292</v>
      </c>
      <c r="C9" t="s">
        <v>297</v>
      </c>
      <c r="D9" t="s">
        <v>63</v>
      </c>
      <c r="E9">
        <v>44626</v>
      </c>
      <c r="F9">
        <v>1</v>
      </c>
    </row>
    <row r="10" spans="1:8" x14ac:dyDescent="0.3">
      <c r="A10" t="s">
        <v>303</v>
      </c>
      <c r="B10" t="s">
        <v>304</v>
      </c>
      <c r="C10" t="s">
        <v>289</v>
      </c>
      <c r="D10" t="s">
        <v>42</v>
      </c>
      <c r="E10">
        <v>23361</v>
      </c>
      <c r="F10">
        <v>5</v>
      </c>
    </row>
    <row r="11" spans="1:8" x14ac:dyDescent="0.3">
      <c r="A11" t="s">
        <v>305</v>
      </c>
      <c r="B11" t="s">
        <v>288</v>
      </c>
      <c r="C11" t="s">
        <v>289</v>
      </c>
      <c r="D11" t="s">
        <v>48</v>
      </c>
      <c r="E11">
        <v>31694</v>
      </c>
      <c r="F11">
        <v>2</v>
      </c>
    </row>
    <row r="12" spans="1:8" x14ac:dyDescent="0.3">
      <c r="A12" t="s">
        <v>306</v>
      </c>
      <c r="B12" t="s">
        <v>295</v>
      </c>
      <c r="C12" t="s">
        <v>297</v>
      </c>
      <c r="D12" t="s">
        <v>35</v>
      </c>
      <c r="E12">
        <v>19664</v>
      </c>
      <c r="F12">
        <v>1</v>
      </c>
    </row>
    <row r="13" spans="1:8" x14ac:dyDescent="0.3">
      <c r="A13" t="s">
        <v>307</v>
      </c>
      <c r="B13" t="s">
        <v>304</v>
      </c>
      <c r="C13" t="s">
        <v>289</v>
      </c>
      <c r="D13" t="s">
        <v>53</v>
      </c>
      <c r="E13">
        <v>38229</v>
      </c>
      <c r="F13">
        <v>5</v>
      </c>
    </row>
    <row r="14" spans="1:8" x14ac:dyDescent="0.3">
      <c r="A14" t="s">
        <v>308</v>
      </c>
      <c r="B14" t="s">
        <v>295</v>
      </c>
      <c r="C14" t="s">
        <v>289</v>
      </c>
      <c r="D14" t="s">
        <v>63</v>
      </c>
      <c r="E14">
        <v>6530</v>
      </c>
      <c r="F14">
        <v>1</v>
      </c>
    </row>
    <row r="15" spans="1:8" x14ac:dyDescent="0.3">
      <c r="A15" t="s">
        <v>309</v>
      </c>
      <c r="B15" t="s">
        <v>300</v>
      </c>
      <c r="C15" t="s">
        <v>297</v>
      </c>
      <c r="D15" t="s">
        <v>63</v>
      </c>
      <c r="E15">
        <v>27977</v>
      </c>
      <c r="F15">
        <v>1</v>
      </c>
    </row>
    <row r="16" spans="1:8" x14ac:dyDescent="0.3">
      <c r="A16" t="s">
        <v>310</v>
      </c>
      <c r="B16" t="s">
        <v>304</v>
      </c>
      <c r="C16" t="s">
        <v>297</v>
      </c>
      <c r="D16" t="s">
        <v>42</v>
      </c>
      <c r="E16">
        <v>20083</v>
      </c>
      <c r="F16">
        <v>5</v>
      </c>
    </row>
    <row r="17" spans="1:6" x14ac:dyDescent="0.3">
      <c r="A17" t="s">
        <v>311</v>
      </c>
      <c r="B17" t="s">
        <v>295</v>
      </c>
      <c r="C17" t="s">
        <v>289</v>
      </c>
      <c r="D17" t="s">
        <v>63</v>
      </c>
      <c r="E17">
        <v>48429</v>
      </c>
      <c r="F17">
        <v>2</v>
      </c>
    </row>
    <row r="18" spans="1:6" x14ac:dyDescent="0.3">
      <c r="A18" t="s">
        <v>312</v>
      </c>
      <c r="B18" t="s">
        <v>288</v>
      </c>
      <c r="C18" t="s">
        <v>289</v>
      </c>
      <c r="D18" t="s">
        <v>42</v>
      </c>
      <c r="E18">
        <v>20195</v>
      </c>
      <c r="F18">
        <v>4</v>
      </c>
    </row>
    <row r="19" spans="1:6" x14ac:dyDescent="0.3">
      <c r="A19" t="s">
        <v>313</v>
      </c>
      <c r="B19" t="s">
        <v>292</v>
      </c>
      <c r="C19" t="s">
        <v>289</v>
      </c>
      <c r="D19" t="s">
        <v>48</v>
      </c>
      <c r="E19">
        <v>35128</v>
      </c>
      <c r="F19">
        <v>4</v>
      </c>
    </row>
    <row r="20" spans="1:6" x14ac:dyDescent="0.3">
      <c r="A20" t="s">
        <v>314</v>
      </c>
      <c r="B20" t="s">
        <v>292</v>
      </c>
      <c r="C20" t="s">
        <v>297</v>
      </c>
      <c r="D20" t="s">
        <v>63</v>
      </c>
      <c r="E20">
        <v>47392</v>
      </c>
      <c r="F20">
        <v>5</v>
      </c>
    </row>
    <row r="21" spans="1:6" x14ac:dyDescent="0.3">
      <c r="A21" t="s">
        <v>315</v>
      </c>
      <c r="B21" t="s">
        <v>304</v>
      </c>
      <c r="C21" t="s">
        <v>289</v>
      </c>
      <c r="D21" t="s">
        <v>35</v>
      </c>
      <c r="E21">
        <v>40005</v>
      </c>
      <c r="F21">
        <v>5</v>
      </c>
    </row>
    <row r="22" spans="1:6" x14ac:dyDescent="0.3">
      <c r="A22" t="s">
        <v>316</v>
      </c>
      <c r="B22" t="s">
        <v>304</v>
      </c>
      <c r="C22" t="s">
        <v>297</v>
      </c>
      <c r="D22" t="s">
        <v>53</v>
      </c>
      <c r="E22">
        <v>32382</v>
      </c>
      <c r="F22">
        <v>4</v>
      </c>
    </row>
    <row r="23" spans="1:6" x14ac:dyDescent="0.3">
      <c r="A23" t="s">
        <v>317</v>
      </c>
      <c r="B23" t="s">
        <v>292</v>
      </c>
      <c r="C23" t="s">
        <v>297</v>
      </c>
      <c r="D23" t="s">
        <v>48</v>
      </c>
      <c r="E23">
        <v>46298</v>
      </c>
      <c r="F23">
        <v>4</v>
      </c>
    </row>
    <row r="24" spans="1:6" x14ac:dyDescent="0.3">
      <c r="A24" t="s">
        <v>318</v>
      </c>
      <c r="B24" t="s">
        <v>304</v>
      </c>
      <c r="C24" t="s">
        <v>297</v>
      </c>
      <c r="D24" t="s">
        <v>48</v>
      </c>
      <c r="E24">
        <v>8515</v>
      </c>
      <c r="F24">
        <v>2</v>
      </c>
    </row>
    <row r="25" spans="1:6" x14ac:dyDescent="0.3">
      <c r="A25" t="s">
        <v>319</v>
      </c>
      <c r="B25" t="s">
        <v>300</v>
      </c>
      <c r="C25" t="s">
        <v>297</v>
      </c>
      <c r="D25" t="s">
        <v>63</v>
      </c>
      <c r="E25">
        <v>35702</v>
      </c>
      <c r="F25">
        <v>4</v>
      </c>
    </row>
    <row r="26" spans="1:6" x14ac:dyDescent="0.3">
      <c r="A26" t="s">
        <v>320</v>
      </c>
      <c r="B26" t="s">
        <v>304</v>
      </c>
      <c r="C26" t="s">
        <v>297</v>
      </c>
      <c r="D26" t="s">
        <v>48</v>
      </c>
      <c r="E26">
        <v>35274</v>
      </c>
      <c r="F26">
        <v>2</v>
      </c>
    </row>
    <row r="27" spans="1:6" x14ac:dyDescent="0.3">
      <c r="A27" t="s">
        <v>321</v>
      </c>
      <c r="B27" t="s">
        <v>300</v>
      </c>
      <c r="C27" t="s">
        <v>289</v>
      </c>
      <c r="D27" t="s">
        <v>42</v>
      </c>
      <c r="E27">
        <v>8240</v>
      </c>
      <c r="F27">
        <v>4</v>
      </c>
    </row>
    <row r="28" spans="1:6" x14ac:dyDescent="0.3">
      <c r="A28" t="s">
        <v>322</v>
      </c>
      <c r="B28" t="s">
        <v>300</v>
      </c>
      <c r="C28" t="s">
        <v>289</v>
      </c>
      <c r="D28" t="s">
        <v>42</v>
      </c>
      <c r="E28">
        <v>32180</v>
      </c>
      <c r="F28">
        <v>5</v>
      </c>
    </row>
    <row r="29" spans="1:6" x14ac:dyDescent="0.3">
      <c r="A29" t="s">
        <v>323</v>
      </c>
      <c r="B29" t="s">
        <v>292</v>
      </c>
      <c r="C29" t="s">
        <v>297</v>
      </c>
      <c r="D29" t="s">
        <v>42</v>
      </c>
      <c r="E29">
        <v>39370</v>
      </c>
      <c r="F29">
        <v>5</v>
      </c>
    </row>
    <row r="30" spans="1:6" x14ac:dyDescent="0.3">
      <c r="A30" t="s">
        <v>324</v>
      </c>
      <c r="B30" t="s">
        <v>292</v>
      </c>
      <c r="C30" t="s">
        <v>289</v>
      </c>
      <c r="D30" t="s">
        <v>53</v>
      </c>
      <c r="E30">
        <v>42884</v>
      </c>
      <c r="F30">
        <v>2</v>
      </c>
    </row>
    <row r="31" spans="1:6" x14ac:dyDescent="0.3">
      <c r="A31" t="s">
        <v>325</v>
      </c>
      <c r="B31" t="s">
        <v>288</v>
      </c>
      <c r="C31" t="s">
        <v>297</v>
      </c>
      <c r="D31" t="s">
        <v>42</v>
      </c>
      <c r="E31">
        <v>10240</v>
      </c>
      <c r="F31">
        <v>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7"/>
  <sheetViews>
    <sheetView workbookViewId="0"/>
  </sheetViews>
  <sheetFormatPr defaultRowHeight="14.4" x14ac:dyDescent="0.3"/>
  <cols>
    <col min="1" max="1" width="55" customWidth="1"/>
    <col min="2" max="2" width="35" customWidth="1"/>
  </cols>
  <sheetData>
    <row r="1" spans="1:2" x14ac:dyDescent="0.3">
      <c r="A1" t="s">
        <v>326</v>
      </c>
    </row>
    <row r="3" spans="1:2" x14ac:dyDescent="0.3">
      <c r="A3" t="s">
        <v>327</v>
      </c>
    </row>
    <row r="5" spans="1:2" x14ac:dyDescent="0.3">
      <c r="A5" t="s">
        <v>328</v>
      </c>
      <c r="B5" t="s">
        <v>329</v>
      </c>
    </row>
    <row r="7" spans="1:2" x14ac:dyDescent="0.3">
      <c r="A7" t="s">
        <v>330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4"/>
  <sheetViews>
    <sheetView workbookViewId="0">
      <selection activeCell="B1" sqref="A1:B1"/>
    </sheetView>
  </sheetViews>
  <sheetFormatPr defaultRowHeight="14.4" x14ac:dyDescent="0.3"/>
  <cols>
    <col min="1" max="1" width="21" customWidth="1"/>
    <col min="2" max="2" width="35" customWidth="1"/>
  </cols>
  <sheetData>
    <row r="1" spans="1:2" x14ac:dyDescent="0.3">
      <c r="A1" s="9" t="s">
        <v>207</v>
      </c>
      <c r="B1" s="9" t="s">
        <v>331</v>
      </c>
    </row>
    <row r="2" spans="1:2" x14ac:dyDescent="0.3">
      <c r="A2" t="s">
        <v>332</v>
      </c>
      <c r="B2" t="s">
        <v>333</v>
      </c>
    </row>
    <row r="3" spans="1:2" x14ac:dyDescent="0.3">
      <c r="A3" t="s">
        <v>334</v>
      </c>
      <c r="B3" t="s">
        <v>335</v>
      </c>
    </row>
    <row r="4" spans="1:2" x14ac:dyDescent="0.3">
      <c r="A4" t="s">
        <v>336</v>
      </c>
      <c r="B4" t="s">
        <v>337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workbookViewId="0">
      <selection activeCell="B1" sqref="A1:B1"/>
    </sheetView>
  </sheetViews>
  <sheetFormatPr defaultRowHeight="14.4" x14ac:dyDescent="0.3"/>
  <cols>
    <col min="2" max="2" width="100" customWidth="1"/>
  </cols>
  <sheetData>
    <row r="1" spans="1:2" x14ac:dyDescent="0.3">
      <c r="A1" s="9" t="s">
        <v>338</v>
      </c>
      <c r="B1" s="9" t="s">
        <v>339</v>
      </c>
    </row>
    <row r="2" spans="1:2" ht="43.2" x14ac:dyDescent="0.3">
      <c r="A2" t="s">
        <v>340</v>
      </c>
      <c r="B2" s="2" t="s">
        <v>341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0"/>
  <sheetViews>
    <sheetView tabSelected="1" workbookViewId="0">
      <selection activeCell="B1" sqref="A1:B1"/>
    </sheetView>
  </sheetViews>
  <sheetFormatPr defaultRowHeight="14.4" x14ac:dyDescent="0.3"/>
  <cols>
    <col min="1" max="1" width="25" customWidth="1"/>
    <col min="2" max="2" width="100" customWidth="1"/>
    <col min="3" max="3" width="30" customWidth="1"/>
  </cols>
  <sheetData>
    <row r="1" spans="1:3" x14ac:dyDescent="0.3">
      <c r="A1" s="9" t="s">
        <v>342</v>
      </c>
      <c r="B1" s="9" t="s">
        <v>237</v>
      </c>
      <c r="C1" s="1" t="s">
        <v>343</v>
      </c>
    </row>
    <row r="2" spans="1:3" ht="86.4" x14ac:dyDescent="0.3">
      <c r="A2" t="s">
        <v>344</v>
      </c>
      <c r="B2" s="2" t="s">
        <v>345</v>
      </c>
      <c r="C2" t="s">
        <v>346</v>
      </c>
    </row>
    <row r="3" spans="1:3" ht="158.4" x14ac:dyDescent="0.3">
      <c r="A3" t="s">
        <v>347</v>
      </c>
      <c r="B3" s="2" t="s">
        <v>348</v>
      </c>
      <c r="C3" t="s">
        <v>349</v>
      </c>
    </row>
    <row r="4" spans="1:3" ht="158.4" x14ac:dyDescent="0.3">
      <c r="A4" t="s">
        <v>350</v>
      </c>
      <c r="B4" s="2" t="s">
        <v>351</v>
      </c>
      <c r="C4" t="s">
        <v>352</v>
      </c>
    </row>
    <row r="5" spans="1:3" ht="115.2" x14ac:dyDescent="0.3">
      <c r="A5" t="s">
        <v>353</v>
      </c>
      <c r="B5" s="2" t="s">
        <v>354</v>
      </c>
      <c r="C5" t="s">
        <v>355</v>
      </c>
    </row>
    <row r="6" spans="1:3" ht="187.2" x14ac:dyDescent="0.3">
      <c r="A6" t="s">
        <v>356</v>
      </c>
      <c r="B6" s="2" t="s">
        <v>357</v>
      </c>
      <c r="C6" t="s">
        <v>358</v>
      </c>
    </row>
    <row r="7" spans="1:3" ht="201.6" x14ac:dyDescent="0.3">
      <c r="A7" t="s">
        <v>359</v>
      </c>
      <c r="B7" s="2" t="s">
        <v>360</v>
      </c>
      <c r="C7" t="s">
        <v>361</v>
      </c>
    </row>
    <row r="8" spans="1:3" ht="144" x14ac:dyDescent="0.3">
      <c r="A8" t="s">
        <v>362</v>
      </c>
      <c r="B8" s="2" t="s">
        <v>363</v>
      </c>
      <c r="C8" t="s">
        <v>364</v>
      </c>
    </row>
    <row r="9" spans="1:3" ht="230.4" x14ac:dyDescent="0.3">
      <c r="A9" t="s">
        <v>365</v>
      </c>
      <c r="B9" s="2" t="s">
        <v>366</v>
      </c>
      <c r="C9" t="s">
        <v>367</v>
      </c>
    </row>
    <row r="10" spans="1:3" ht="129.6" x14ac:dyDescent="0.3">
      <c r="A10" t="s">
        <v>368</v>
      </c>
      <c r="B10" s="2" t="s">
        <v>369</v>
      </c>
      <c r="C10" t="s">
        <v>370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19_Instructions</vt:lpstr>
      <vt:lpstr>01_Food_Orders_Cleaning</vt:lpstr>
      <vt:lpstr>01B_Cleaned_Orders</vt:lpstr>
      <vt:lpstr>02_Restaurant_Details</vt:lpstr>
      <vt:lpstr>03_XLOOKUP_Result</vt:lpstr>
      <vt:lpstr>04_Day_Extraction</vt:lpstr>
      <vt:lpstr>05_City_Summary</vt:lpstr>
      <vt:lpstr>06_Dashboard</vt:lpstr>
      <vt:lpstr>07_Macro_Basic</vt:lpstr>
      <vt:lpstr>08_Macro_10_Orders</vt:lpstr>
      <vt:lpstr>09_Instagram_Followers</vt:lpstr>
      <vt:lpstr>10_VBA_Basics</vt:lpstr>
      <vt:lpstr>11_Recorded_Macro_Task</vt:lpstr>
      <vt:lpstr>12_IPL_Macro</vt:lpstr>
      <vt:lpstr>13_Clean_Playlist</vt:lpstr>
      <vt:lpstr>14_Flipkart_Dashboard</vt:lpstr>
      <vt:lpstr>15_Zomato_PDF</vt:lpstr>
      <vt:lpstr>16_PowerQuery_Refresh</vt:lpstr>
      <vt:lpstr>17_Prompt_Used</vt:lpstr>
      <vt:lpstr>18_VBA_Code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CHANGVADIYA</cp:lastModifiedBy>
  <dcterms:created xsi:type="dcterms:W3CDTF">2026-10-01T08:49:42Z</dcterms:created>
  <dcterms:modified xsi:type="dcterms:W3CDTF">2026-10-04T03:03:07Z</dcterms:modified>
</cp:coreProperties>
</file>