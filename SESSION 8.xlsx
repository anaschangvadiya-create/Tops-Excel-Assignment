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CF597D7A-114A-46DB-A34A-C9412CA40650}" xr6:coauthVersionLast="47" xr6:coauthVersionMax="47" xr10:uidLastSave="{00000000-0000-0000-0000-000000000000}"/>
  <bookViews>
    <workbookView xWindow="-108" yWindow="-108" windowWidth="23256" windowHeight="13896" activeTab="3" xr2:uid="{3834B754-BCF0-4FA1-B025-9FEA958B47E3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8" i="5"/>
  <c r="F9" i="5"/>
  <c r="F6" i="5"/>
  <c r="H7" i="4"/>
  <c r="H8" i="4"/>
  <c r="H9" i="4"/>
  <c r="H6" i="4"/>
  <c r="F7" i="3"/>
  <c r="F8" i="3"/>
  <c r="F9" i="3"/>
  <c r="F6" i="3"/>
  <c r="F7" i="2"/>
  <c r="F8" i="2"/>
  <c r="F9" i="2"/>
  <c r="F10" i="2"/>
  <c r="F6" i="2"/>
  <c r="F5" i="1"/>
  <c r="F6" i="1"/>
  <c r="F7" i="1"/>
  <c r="F8" i="1"/>
  <c r="F9" i="1"/>
</calcChain>
</file>

<file path=xl/sharedStrings.xml><?xml version="1.0" encoding="utf-8"?>
<sst xmlns="http://schemas.openxmlformats.org/spreadsheetml/2006/main" count="45" uniqueCount="35">
  <si>
    <t>Total Amount</t>
  </si>
  <si>
    <t>Order Type</t>
  </si>
  <si>
    <t xml:space="preserve">Player </t>
  </si>
  <si>
    <t>Toatl Runs</t>
  </si>
  <si>
    <t>Ratting</t>
  </si>
  <si>
    <t>Shreyas Aiyar</t>
  </si>
  <si>
    <t>Subhaman Gill</t>
  </si>
  <si>
    <t>Abhishek Sharma</t>
  </si>
  <si>
    <t>K L Rahul</t>
  </si>
  <si>
    <t>Rohit Sharma</t>
  </si>
  <si>
    <t>Payment Method</t>
  </si>
  <si>
    <t>Order Status</t>
  </si>
  <si>
    <t>Result</t>
  </si>
  <si>
    <t>Prepaid</t>
  </si>
  <si>
    <t>Delivered</t>
  </si>
  <si>
    <t>Cancelled</t>
  </si>
  <si>
    <t>COD</t>
  </si>
  <si>
    <t>Song Name</t>
  </si>
  <si>
    <t>Artist</t>
  </si>
  <si>
    <t>Kesariya</t>
  </si>
  <si>
    <t>Arijit Singh</t>
  </si>
  <si>
    <t>Hello</t>
  </si>
  <si>
    <t>ISDownloaded</t>
  </si>
  <si>
    <t>iSFavorite</t>
  </si>
  <si>
    <t>Sonu Nigam</t>
  </si>
  <si>
    <t>Neha Kakkar</t>
  </si>
  <si>
    <t>Kumar Sanu</t>
  </si>
  <si>
    <t>Duaa</t>
  </si>
  <si>
    <t>Hum Tere He</t>
  </si>
  <si>
    <t>Address</t>
  </si>
  <si>
    <t>Payment</t>
  </si>
  <si>
    <t>New</t>
  </si>
  <si>
    <t>Cash</t>
  </si>
  <si>
    <t>UPI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</si>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</sst>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6" fontId="0" fillId="0" borderId="2" xfId="0" applyNumberFormat="1" applyBorder="1" applyAlignment="1">
      <alignment horizontal="center" vertical="center" wrapText="1"/>
    </xf>
    <xf numFmtId="6" fontId="0" fillId="0" borderId="4" xfId="0" applyNumberFormat="1" applyBorder="1" applyAlignment="1">
      <alignment horizontal="center" vertical="center" wrapText="1"/>
    </xf>
    <xf numFmtId="6" fontId="0" fillId="0" borderId="6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4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84C1-BD71-4A27-A126-F062CEF1D607}">
  <dimension ref="E3:F9"/>
  <sheetViews>
    <sheetView workbookViewId="0">
      <selection activeCell="F4" sqref="E4:F4"/>
    </sheetView>
  </sheetViews>
  <sheetFormatPr defaultRowHeight="14.4" x14ac:dyDescent="0.3"/>
  <cols>
    <col min="5" max="5" width="15.77734375" customWidth="1"/>
    <col min="6" max="6" width="20.109375" customWidth="1"/>
  </cols>
  <sheetData>
    <row r="3" spans="5:6" ht="15" thickBot="1" x14ac:dyDescent="0.35"/>
    <row r="4" spans="5:6" ht="18.600000000000001" thickBot="1" x14ac:dyDescent="0.35">
      <c r="E4" s="22" t="s">
        <v>0</v>
      </c>
      <c r="F4" s="24" t="s">
        <v>1</v>
      </c>
    </row>
    <row r="5" spans="5:6" x14ac:dyDescent="0.3">
      <c r="E5" s="6">
        <v>750</v>
      </c>
      <c r="F5" s="10" t="str">
        <f>IF(E5&gt;=500,"High Value","Regular")</f>
        <v>High Value</v>
      </c>
    </row>
    <row r="6" spans="5:6" x14ac:dyDescent="0.3">
      <c r="E6" s="4">
        <v>450</v>
      </c>
      <c r="F6" s="8" t="str">
        <f t="shared" ref="F6:F9" si="0">IF(B3&gt;=500,"High Value","Regular")</f>
        <v>Regular</v>
      </c>
    </row>
    <row r="7" spans="5:6" x14ac:dyDescent="0.3">
      <c r="E7" s="4">
        <v>500</v>
      </c>
      <c r="F7" s="8" t="str">
        <f t="shared" si="0"/>
        <v>Regular</v>
      </c>
    </row>
    <row r="8" spans="5:6" x14ac:dyDescent="0.3">
      <c r="E8" s="4">
        <v>299</v>
      </c>
      <c r="F8" s="8" t="str">
        <f t="shared" si="0"/>
        <v>Regular</v>
      </c>
    </row>
    <row r="9" spans="5:6" ht="15" thickBot="1" x14ac:dyDescent="0.35">
      <c r="E9" s="5">
        <v>650</v>
      </c>
      <c r="F9" s="9" t="str">
        <f t="shared" si="0"/>
        <v>Regular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FCE6-6D3B-467E-A138-150E42B43D09}">
  <dimension ref="D4:F10"/>
  <sheetViews>
    <sheetView workbookViewId="0">
      <selection activeCell="F5" sqref="D5:F5"/>
    </sheetView>
  </sheetViews>
  <sheetFormatPr defaultRowHeight="14.4" x14ac:dyDescent="0.3"/>
  <cols>
    <col min="3" max="3" width="8.88671875" customWidth="1"/>
    <col min="4" max="4" width="16.44140625" customWidth="1"/>
    <col min="5" max="5" width="17.5546875" customWidth="1"/>
    <col min="6" max="6" width="13.21875" customWidth="1"/>
  </cols>
  <sheetData>
    <row r="4" spans="4:6" ht="15" thickBot="1" x14ac:dyDescent="0.35"/>
    <row r="5" spans="4:6" ht="15" thickBot="1" x14ac:dyDescent="0.35">
      <c r="D5" s="28" t="s">
        <v>2</v>
      </c>
      <c r="E5" s="29" t="s">
        <v>3</v>
      </c>
      <c r="F5" s="30" t="s">
        <v>4</v>
      </c>
    </row>
    <row r="6" spans="4:6" x14ac:dyDescent="0.3">
      <c r="D6" s="14" t="s">
        <v>5</v>
      </c>
      <c r="E6" s="15">
        <v>1400</v>
      </c>
      <c r="F6" s="10" t="str">
        <f>IF(D6&gt;=1000,"Star",IF(D6&gt;=700,"Pro",IF(D6&gt;=400,"Rising","Newbie")))</f>
        <v>Star</v>
      </c>
    </row>
    <row r="7" spans="4:6" x14ac:dyDescent="0.3">
      <c r="D7" s="11" t="s">
        <v>6</v>
      </c>
      <c r="E7" s="7">
        <v>850</v>
      </c>
      <c r="F7" s="10" t="str">
        <f t="shared" ref="F7:F10" si="0">IF(D7&gt;=1000,"Star",IF(D7&gt;=700,"Pro",IF(D7&gt;=400,"Rising","Newbie")))</f>
        <v>Star</v>
      </c>
    </row>
    <row r="8" spans="4:6" x14ac:dyDescent="0.3">
      <c r="D8" s="11" t="s">
        <v>7</v>
      </c>
      <c r="E8" s="7">
        <v>530</v>
      </c>
      <c r="F8" s="10" t="str">
        <f t="shared" si="0"/>
        <v>Star</v>
      </c>
    </row>
    <row r="9" spans="4:6" x14ac:dyDescent="0.3">
      <c r="D9" s="11" t="s">
        <v>8</v>
      </c>
      <c r="E9" s="7">
        <v>650</v>
      </c>
      <c r="F9" s="10" t="str">
        <f t="shared" si="0"/>
        <v>Star</v>
      </c>
    </row>
    <row r="10" spans="4:6" ht="15" thickBot="1" x14ac:dyDescent="0.35">
      <c r="D10" s="12" t="s">
        <v>9</v>
      </c>
      <c r="E10" s="13">
        <v>350</v>
      </c>
      <c r="F10" s="10" t="str">
        <f t="shared" si="0"/>
        <v>Star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B94A-2133-48EA-B71B-CF9F6C0B5342}">
  <dimension ref="D4:F9"/>
  <sheetViews>
    <sheetView workbookViewId="0">
      <selection activeCell="F5" sqref="D5:F5"/>
    </sheetView>
  </sheetViews>
  <sheetFormatPr defaultRowHeight="14.4" x14ac:dyDescent="0.3"/>
  <cols>
    <col min="4" max="4" width="15" customWidth="1"/>
    <col min="5" max="5" width="14.5546875" customWidth="1"/>
    <col min="6" max="6" width="12.88671875" customWidth="1"/>
  </cols>
  <sheetData>
    <row r="4" spans="4:6" ht="15" thickBot="1" x14ac:dyDescent="0.35"/>
    <row r="5" spans="4:6" ht="15" thickBot="1" x14ac:dyDescent="0.35">
      <c r="D5" s="25" t="s">
        <v>10</v>
      </c>
      <c r="E5" s="26" t="s">
        <v>11</v>
      </c>
      <c r="F5" s="27" t="s">
        <v>12</v>
      </c>
    </row>
    <row r="6" spans="4:6" x14ac:dyDescent="0.3">
      <c r="D6" s="19" t="s">
        <v>13</v>
      </c>
      <c r="E6" s="20" t="s">
        <v>14</v>
      </c>
      <c r="F6" s="21" t="str">
        <f>IF(AND(D6="Prepaid",E6="Delivered"),"Eligible","Not Eligible")</f>
        <v>Eligible</v>
      </c>
    </row>
    <row r="7" spans="4:6" x14ac:dyDescent="0.3">
      <c r="D7" s="16" t="s">
        <v>13</v>
      </c>
      <c r="E7" s="1" t="s">
        <v>15</v>
      </c>
      <c r="F7" s="2" t="str">
        <f t="shared" ref="F7:F9" si="0">IF(AND(D7="Prepaid",E7="Delivered"),"Eligible","Not Eligible")</f>
        <v>Not Eligible</v>
      </c>
    </row>
    <row r="8" spans="4:6" x14ac:dyDescent="0.3">
      <c r="D8" s="16" t="s">
        <v>16</v>
      </c>
      <c r="E8" s="1" t="s">
        <v>14</v>
      </c>
      <c r="F8" s="2" t="str">
        <f t="shared" si="0"/>
        <v>Not Eligible</v>
      </c>
    </row>
    <row r="9" spans="4:6" ht="15" thickBot="1" x14ac:dyDescent="0.35">
      <c r="D9" s="17" t="s">
        <v>13</v>
      </c>
      <c r="E9" s="18" t="s">
        <v>14</v>
      </c>
      <c r="F9" s="3" t="str">
        <f t="shared" si="0"/>
        <v>Eligible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D743-0EAF-40D6-B524-0C845B9239C8}">
  <dimension ref="D4:H9"/>
  <sheetViews>
    <sheetView tabSelected="1" workbookViewId="0">
      <selection activeCell="H5" sqref="D5:H5"/>
    </sheetView>
  </sheetViews>
  <sheetFormatPr defaultRowHeight="14.4" x14ac:dyDescent="0.3"/>
  <cols>
    <col min="4" max="4" width="15.6640625" customWidth="1"/>
    <col min="5" max="5" width="13.44140625" customWidth="1"/>
    <col min="6" max="6" width="16.21875" customWidth="1"/>
    <col min="7" max="7" width="15.21875" customWidth="1"/>
    <col min="8" max="8" width="13" customWidth="1"/>
  </cols>
  <sheetData>
    <row r="4" spans="4:8" ht="15" thickBot="1" x14ac:dyDescent="0.35"/>
    <row r="5" spans="4:8" ht="15" thickBot="1" x14ac:dyDescent="0.35">
      <c r="D5" s="25" t="s">
        <v>17</v>
      </c>
      <c r="E5" s="26" t="s">
        <v>18</v>
      </c>
      <c r="F5" s="26" t="s">
        <v>22</v>
      </c>
      <c r="G5" s="26" t="s">
        <v>23</v>
      </c>
      <c r="H5" s="27" t="s">
        <v>12</v>
      </c>
    </row>
    <row r="6" spans="4:8" x14ac:dyDescent="0.3">
      <c r="D6" s="19" t="s">
        <v>19</v>
      </c>
      <c r="E6" s="20" t="s">
        <v>20</v>
      </c>
      <c r="F6" s="20" t="b">
        <v>1</v>
      </c>
      <c r="G6" s="20" t="b">
        <v>0</v>
      </c>
      <c r="H6" s="21" t="str">
        <f>IF(OR(F6=TRUE,G6=TRUE),"Quick Access","Normal")</f>
        <v>Quick Access</v>
      </c>
    </row>
    <row r="7" spans="4:8" x14ac:dyDescent="0.3">
      <c r="D7" t="s">
        <v>27</v>
      </c>
      <c r="E7" s="1" t="s">
        <v>24</v>
      </c>
      <c r="F7" s="1" t="b">
        <v>0</v>
      </c>
      <c r="G7" s="1" t="b">
        <v>1</v>
      </c>
      <c r="H7" s="21" t="str">
        <f t="shared" ref="H7:H9" si="0">IF(OR(F7=TRUE,G7=TRUE),"Quick Access","Normal")</f>
        <v>Quick Access</v>
      </c>
    </row>
    <row r="8" spans="4:8" x14ac:dyDescent="0.3">
      <c r="D8" s="16" t="s">
        <v>28</v>
      </c>
      <c r="E8" s="1" t="s">
        <v>25</v>
      </c>
      <c r="F8" s="1" t="b">
        <v>1</v>
      </c>
      <c r="G8" s="1" t="b">
        <v>1</v>
      </c>
      <c r="H8" s="21" t="str">
        <f t="shared" si="0"/>
        <v>Quick Access</v>
      </c>
    </row>
    <row r="9" spans="4:8" ht="15" thickBot="1" x14ac:dyDescent="0.35">
      <c r="D9" s="17" t="s">
        <v>21</v>
      </c>
      <c r="E9" s="18" t="s">
        <v>26</v>
      </c>
      <c r="F9" s="18" t="b">
        <v>0</v>
      </c>
      <c r="G9" s="18" t="b">
        <v>0</v>
      </c>
      <c r="H9" s="21" t="str">
        <f t="shared" si="0"/>
        <v>Normal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70BE-55EE-4E83-AF19-E15569ED2195}">
  <dimension ref="D4:F9"/>
  <sheetViews>
    <sheetView workbookViewId="0">
      <selection activeCell="F5" sqref="D5:F5"/>
    </sheetView>
  </sheetViews>
  <sheetFormatPr defaultRowHeight="14.4" x14ac:dyDescent="0.3"/>
  <cols>
    <col min="4" max="4" width="12.5546875" customWidth="1"/>
    <col min="5" max="5" width="13.44140625" customWidth="1"/>
    <col min="6" max="6" width="13.77734375" customWidth="1"/>
  </cols>
  <sheetData>
    <row r="4" spans="4:6" ht="15" thickBot="1" x14ac:dyDescent="0.35"/>
    <row r="5" spans="4:6" ht="18.600000000000001" thickBot="1" x14ac:dyDescent="0.35">
      <c r="D5" s="22" t="s">
        <v>29</v>
      </c>
      <c r="E5" s="23" t="s">
        <v>30</v>
      </c>
      <c r="F5" s="24" t="s">
        <v>12</v>
      </c>
    </row>
    <row r="6" spans="4:6" x14ac:dyDescent="0.3">
      <c r="D6" s="19" t="s">
        <v>31</v>
      </c>
      <c r="E6" s="20" t="s">
        <v>32</v>
      </c>
      <c r="F6" s="21" t="str">
        <f>IF(_xlfn.XOR(D6="New",E6="Cash"),"Suspicious","Normal")</f>
        <v>Normal</v>
      </c>
    </row>
    <row r="7" spans="4:6" x14ac:dyDescent="0.3">
      <c r="D7" s="16" t="s">
        <v>31</v>
      </c>
      <c r="E7" s="1" t="s">
        <v>33</v>
      </c>
      <c r="F7" s="2" t="str">
        <f t="shared" ref="F7:F9" si="0">IF(_xlfn.XOR(D7="New",E7="Cash"),"Suspicious","Normal")</f>
        <v>Suspicious</v>
      </c>
    </row>
    <row r="8" spans="4:6" x14ac:dyDescent="0.3">
      <c r="D8" s="16" t="s">
        <v>34</v>
      </c>
      <c r="E8" s="1" t="s">
        <v>32</v>
      </c>
      <c r="F8" s="2" t="str">
        <f t="shared" si="0"/>
        <v>Suspicious</v>
      </c>
    </row>
    <row r="9" spans="4:6" ht="15" thickBot="1" x14ac:dyDescent="0.35">
      <c r="D9" s="17" t="s">
        <v>34</v>
      </c>
      <c r="E9" s="18" t="s">
        <v>33</v>
      </c>
      <c r="F9" s="3" t="str">
        <f t="shared" si="0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2026-09-22T05:22:12Z</dcterms:created>
  <dcterms:modified xsi:type="dcterms:W3CDTF">2026-10-02T16:06:15Z</dcterms:modified>
</cp:coreProperties>
</file>